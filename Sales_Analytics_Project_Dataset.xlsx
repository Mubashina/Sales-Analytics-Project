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mubas\Downloads\"/>
    </mc:Choice>
  </mc:AlternateContent>
  <xr:revisionPtr revIDLastSave="0" documentId="13_ncr:1_{E716D7B5-D3DE-430B-B4D7-1A87CF15B6B0}" xr6:coauthVersionLast="47" xr6:coauthVersionMax="47" xr10:uidLastSave="{00000000-0000-0000-0000-000000000000}"/>
  <bookViews>
    <workbookView xWindow="-110" yWindow="-110" windowWidth="19420" windowHeight="10300" firstSheet="3" activeTab="6" xr2:uid="{00000000-000D-0000-FFFF-FFFF00000000}"/>
  </bookViews>
  <sheets>
    <sheet name="category sales" sheetId="2" r:id="rId1"/>
    <sheet name="region sales" sheetId="3" r:id="rId2"/>
    <sheet name="month sales" sheetId="4" r:id="rId3"/>
    <sheet name="product sales" sheetId="5" r:id="rId4"/>
    <sheet name="Sheet5" sheetId="6" r:id="rId5"/>
    <sheet name="Sales_Data" sheetId="1" r:id="rId6"/>
    <sheet name="Dashboard" sheetId="7" r:id="rId7"/>
  </sheets>
  <definedNames>
    <definedName name="Slicer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7" l="1"/>
  <c r="B4" i="7"/>
  <c r="A4" i="7"/>
</calcChain>
</file>

<file path=xl/sharedStrings.xml><?xml version="1.0" encoding="utf-8"?>
<sst xmlns="http://schemas.openxmlformats.org/spreadsheetml/2006/main" count="2568" uniqueCount="649">
  <si>
    <t>Order ID</t>
  </si>
  <si>
    <t>Order Date</t>
  </si>
  <si>
    <t>Customer</t>
  </si>
  <si>
    <t>Product</t>
  </si>
  <si>
    <t>Category</t>
  </si>
  <si>
    <t>Region</t>
  </si>
  <si>
    <t>Quantity</t>
  </si>
  <si>
    <t>Discount</t>
  </si>
  <si>
    <t>Sales</t>
  </si>
  <si>
    <t>Profit</t>
  </si>
  <si>
    <t>ORD0337</t>
  </si>
  <si>
    <t>ORD0110</t>
  </si>
  <si>
    <t>ORD0012</t>
  </si>
  <si>
    <t>ORD0266</t>
  </si>
  <si>
    <t>ORD0085</t>
  </si>
  <si>
    <t>ORD0396</t>
  </si>
  <si>
    <t>ORD0215</t>
  </si>
  <si>
    <t>ORD0150</t>
  </si>
  <si>
    <t>ORD0347</t>
  </si>
  <si>
    <t>ORD0141</t>
  </si>
  <si>
    <t>ORD0302</t>
  </si>
  <si>
    <t>ORD0442</t>
  </si>
  <si>
    <t>ORD0455</t>
  </si>
  <si>
    <t>ORD0187</t>
  </si>
  <si>
    <t>ORD0305</t>
  </si>
  <si>
    <t>ORD0394</t>
  </si>
  <si>
    <t>ORD0239</t>
  </si>
  <si>
    <t>ORD0116</t>
  </si>
  <si>
    <t>ORD0330</t>
  </si>
  <si>
    <t>ORD0222</t>
  </si>
  <si>
    <t>ORD0017</t>
  </si>
  <si>
    <t>ORD0058</t>
  </si>
  <si>
    <t>ORD0226</t>
  </si>
  <si>
    <t>ORD0240</t>
  </si>
  <si>
    <t>ORD0062</t>
  </si>
  <si>
    <t>ORD0108</t>
  </si>
  <si>
    <t>ORD0458</t>
  </si>
  <si>
    <t>ORD0427</t>
  </si>
  <si>
    <t>ORD0055</t>
  </si>
  <si>
    <t>ORD0493</t>
  </si>
  <si>
    <t>ORD0177</t>
  </si>
  <si>
    <t>ORD0188</t>
  </si>
  <si>
    <t>ORD0324</t>
  </si>
  <si>
    <t>ORD0460</t>
  </si>
  <si>
    <t>ORD0409</t>
  </si>
  <si>
    <t>ORD0410</t>
  </si>
  <si>
    <t>ORD0318</t>
  </si>
  <si>
    <t>ORD0066</t>
  </si>
  <si>
    <t>ORD0388</t>
  </si>
  <si>
    <t>ORD0333</t>
  </si>
  <si>
    <t>ORD0152</t>
  </si>
  <si>
    <t>ORD0224</t>
  </si>
  <si>
    <t>ORD0449</t>
  </si>
  <si>
    <t>ORD0452</t>
  </si>
  <si>
    <t>ORD0496</t>
  </si>
  <si>
    <t>ORD0087</t>
  </si>
  <si>
    <t>ORD0145</t>
  </si>
  <si>
    <t>ORD0011</t>
  </si>
  <si>
    <t>ORD0322</t>
  </si>
  <si>
    <t>ORD0161</t>
  </si>
  <si>
    <t>ORD0253</t>
  </si>
  <si>
    <t>ORD0273</t>
  </si>
  <si>
    <t>ORD0331</t>
  </si>
  <si>
    <t>ORD0020</t>
  </si>
  <si>
    <t>ORD0383</t>
  </si>
  <si>
    <t>ORD0491</t>
  </si>
  <si>
    <t>ORD0339</t>
  </si>
  <si>
    <t>ORD0307</t>
  </si>
  <si>
    <t>ORD0114</t>
  </si>
  <si>
    <t>ORD0021</t>
  </si>
  <si>
    <t>ORD0439</t>
  </si>
  <si>
    <t>ORD0212</t>
  </si>
  <si>
    <t>ORD0137</t>
  </si>
  <si>
    <t>ORD0192</t>
  </si>
  <si>
    <t>ORD0368</t>
  </si>
  <si>
    <t>ORD0139</t>
  </si>
  <si>
    <t>ORD0016</t>
  </si>
  <si>
    <t>ORD0100</t>
  </si>
  <si>
    <t>ORD0115</t>
  </si>
  <si>
    <t>ORD0264</t>
  </si>
  <si>
    <t>ORD0132</t>
  </si>
  <si>
    <t>ORD0007</t>
  </si>
  <si>
    <t>ORD0208</t>
  </si>
  <si>
    <t>ORD0414</t>
  </si>
  <si>
    <t>ORD0462</t>
  </si>
  <si>
    <t>ORD0495</t>
  </si>
  <si>
    <t>ORD0276</t>
  </si>
  <si>
    <t>ORD0378</t>
  </si>
  <si>
    <t>ORD0259</t>
  </si>
  <si>
    <t>ORD0163</t>
  </si>
  <si>
    <t>ORD0262</t>
  </si>
  <si>
    <t>ORD0070</t>
  </si>
  <si>
    <t>ORD0124</t>
  </si>
  <si>
    <t>ORD0230</t>
  </si>
  <si>
    <t>ORD0123</t>
  </si>
  <si>
    <t>ORD0422</t>
  </si>
  <si>
    <t>ORD0499</t>
  </si>
  <si>
    <t>ORD0134</t>
  </si>
  <si>
    <t>ORD0389</t>
  </si>
  <si>
    <t>ORD0179</t>
  </si>
  <si>
    <t>ORD0053</t>
  </si>
  <si>
    <t>ORD0154</t>
  </si>
  <si>
    <t>ORD0475</t>
  </si>
  <si>
    <t>ORD0079</t>
  </si>
  <si>
    <t>ORD0354</t>
  </si>
  <si>
    <t>ORD0386</t>
  </si>
  <si>
    <t>ORD0476</t>
  </si>
  <si>
    <t>ORD0162</t>
  </si>
  <si>
    <t>ORD0098</t>
  </si>
  <si>
    <t>ORD0355</t>
  </si>
  <si>
    <t>ORD0370</t>
  </si>
  <si>
    <t>ORD0471</t>
  </si>
  <si>
    <t>ORD0149</t>
  </si>
  <si>
    <t>ORD0290</t>
  </si>
  <si>
    <t>ORD0416</t>
  </si>
  <si>
    <t>ORD0036</t>
  </si>
  <si>
    <t>ORD0246</t>
  </si>
  <si>
    <t>ORD0121</t>
  </si>
  <si>
    <t>ORD0487</t>
  </si>
  <si>
    <t>ORD0403</t>
  </si>
  <si>
    <t>ORD0320</t>
  </si>
  <si>
    <t>ORD0128</t>
  </si>
  <si>
    <t>ORD0479</t>
  </si>
  <si>
    <t>ORD0295</t>
  </si>
  <si>
    <t>ORD0332</t>
  </si>
  <si>
    <t>ORD0373</t>
  </si>
  <si>
    <t>ORD0362</t>
  </si>
  <si>
    <t>ORD0420</t>
  </si>
  <si>
    <t>ORD0490</t>
  </si>
  <si>
    <t>ORD0080</t>
  </si>
  <si>
    <t>ORD0450</t>
  </si>
  <si>
    <t>ORD0078</t>
  </si>
  <si>
    <t>ORD0267</t>
  </si>
  <si>
    <t>ORD0358</t>
  </si>
  <si>
    <t>ORD0090</t>
  </si>
  <si>
    <t>ORD0457</t>
  </si>
  <si>
    <t>ORD0311</t>
  </si>
  <si>
    <t>ORD0197</t>
  </si>
  <si>
    <t>ORD0353</t>
  </si>
  <si>
    <t>ORD0010</t>
  </si>
  <si>
    <t>ORD0170</t>
  </si>
  <si>
    <t>ORD0081</t>
  </si>
  <si>
    <t>ORD0186</t>
  </si>
  <si>
    <t>ORD0026</t>
  </si>
  <si>
    <t>ORD0094</t>
  </si>
  <si>
    <t>ORD0213</t>
  </si>
  <si>
    <t>ORD0233</t>
  </si>
  <si>
    <t>ORD0125</t>
  </si>
  <si>
    <t>ORD0040</t>
  </si>
  <si>
    <t>ORD0059</t>
  </si>
  <si>
    <t>ORD0402</t>
  </si>
  <si>
    <t>ORD0023</t>
  </si>
  <si>
    <t>ORD0432</t>
  </si>
  <si>
    <t>ORD0247</t>
  </si>
  <si>
    <t>ORD0189</t>
  </si>
  <si>
    <t>ORD0050</t>
  </si>
  <si>
    <t>ORD0454</t>
  </si>
  <si>
    <t>ORD0268</t>
  </si>
  <si>
    <t>ORD0482</t>
  </si>
  <si>
    <t>ORD0480</t>
  </si>
  <si>
    <t>ORD0473</t>
  </si>
  <si>
    <t>ORD0371</t>
  </si>
  <si>
    <t>ORD0251</t>
  </si>
  <si>
    <t>ORD0433</t>
  </si>
  <si>
    <t>ORD0180</t>
  </si>
  <si>
    <t>ORD0437</t>
  </si>
  <si>
    <t>ORD0315</t>
  </si>
  <si>
    <t>ORD0133</t>
  </si>
  <si>
    <t>ORD0456</t>
  </si>
  <si>
    <t>ORD0216</t>
  </si>
  <si>
    <t>ORD0159</t>
  </si>
  <si>
    <t>ORD0445</t>
  </si>
  <si>
    <t>ORD0444</t>
  </si>
  <si>
    <t>ORD0310</t>
  </si>
  <si>
    <t>ORD0363</t>
  </si>
  <si>
    <t>ORD0303</t>
  </si>
  <si>
    <t>ORD0335</t>
  </si>
  <si>
    <t>ORD0218</t>
  </si>
  <si>
    <t>ORD0440</t>
  </si>
  <si>
    <t>ORD0380</t>
  </si>
  <si>
    <t>ORD0376</t>
  </si>
  <si>
    <t>ORD0183</t>
  </si>
  <si>
    <t>ORD0041</t>
  </si>
  <si>
    <t>ORD0494</t>
  </si>
  <si>
    <t>ORD0328</t>
  </si>
  <si>
    <t>ORD0153</t>
  </si>
  <si>
    <t>ORD0477</t>
  </si>
  <si>
    <t>ORD0109</t>
  </si>
  <si>
    <t>ORD0064</t>
  </si>
  <si>
    <t>ORD0044</t>
  </si>
  <si>
    <t>ORD0225</t>
  </si>
  <si>
    <t>ORD0077</t>
  </si>
  <si>
    <t>ORD0428</t>
  </si>
  <si>
    <t>ORD0018</t>
  </si>
  <si>
    <t>ORD0293</t>
  </si>
  <si>
    <t>ORD0175</t>
  </si>
  <si>
    <t>ORD0356</t>
  </si>
  <si>
    <t>ORD0404</t>
  </si>
  <si>
    <t>ORD0029</t>
  </si>
  <si>
    <t>ORD0054</t>
  </si>
  <si>
    <t>ORD0008</t>
  </si>
  <si>
    <t>ORD0118</t>
  </si>
  <si>
    <t>ORD0032</t>
  </si>
  <si>
    <t>ORD0160</t>
  </si>
  <si>
    <t>ORD0245</t>
  </si>
  <si>
    <t>ORD0171</t>
  </si>
  <si>
    <t>ORD0168</t>
  </si>
  <si>
    <t>ORD0068</t>
  </si>
  <si>
    <t>ORD0256</t>
  </si>
  <si>
    <t>ORD0166</t>
  </si>
  <si>
    <t>ORD0359</t>
  </si>
  <si>
    <t>ORD0027</t>
  </si>
  <si>
    <t>ORD0046</t>
  </si>
  <si>
    <t>ORD0099</t>
  </si>
  <si>
    <t>ORD0395</t>
  </si>
  <si>
    <t>ORD0369</t>
  </si>
  <si>
    <t>ORD0298</t>
  </si>
  <si>
    <t>ORD0350</t>
  </si>
  <si>
    <t>ORD0075</t>
  </si>
  <si>
    <t>ORD0043</t>
  </si>
  <si>
    <t>ORD0308</t>
  </si>
  <si>
    <t>ORD0434</t>
  </si>
  <si>
    <t>ORD0195</t>
  </si>
  <si>
    <t>ORD0415</t>
  </si>
  <si>
    <t>ORD0045</t>
  </si>
  <si>
    <t>ORD0346</t>
  </si>
  <si>
    <t>ORD0412</t>
  </si>
  <si>
    <t>ORD0033</t>
  </si>
  <si>
    <t>ORD0325</t>
  </si>
  <si>
    <t>ORD0003</t>
  </si>
  <si>
    <t>ORD0466</t>
  </si>
  <si>
    <t>ORD0199</t>
  </si>
  <si>
    <t>ORD0049</t>
  </si>
  <si>
    <t>ORD0051</t>
  </si>
  <si>
    <t>ORD0443</t>
  </si>
  <si>
    <t>ORD0236</t>
  </si>
  <si>
    <t>ORD0486</t>
  </si>
  <si>
    <t>ORD0419</t>
  </si>
  <si>
    <t>ORD0201</t>
  </si>
  <si>
    <t>ORD0117</t>
  </si>
  <si>
    <t>ORD0181</t>
  </si>
  <si>
    <t>ORD0185</t>
  </si>
  <si>
    <t>ORD0086</t>
  </si>
  <si>
    <t>ORD0381</t>
  </si>
  <si>
    <t>ORD0485</t>
  </si>
  <si>
    <t>ORD0279</t>
  </si>
  <si>
    <t>ORD0200</t>
  </si>
  <si>
    <t>ORD0470</t>
  </si>
  <si>
    <t>ORD0489</t>
  </si>
  <si>
    <t>ORD0209</t>
  </si>
  <si>
    <t>ORD0283</t>
  </si>
  <si>
    <t>ORD0019</t>
  </si>
  <si>
    <t>ORD0405</t>
  </si>
  <si>
    <t>ORD0334</t>
  </si>
  <si>
    <t>ORD0232</t>
  </si>
  <si>
    <t>ORD0174</t>
  </si>
  <si>
    <t>ORD0214</t>
  </si>
  <si>
    <t>ORD0228</t>
  </si>
  <si>
    <t>ORD0277</t>
  </si>
  <si>
    <t>ORD0190</t>
  </si>
  <si>
    <t>ORD0038</t>
  </si>
  <si>
    <t>ORD0022</t>
  </si>
  <si>
    <t>ORD0129</t>
  </si>
  <si>
    <t>ORD0164</t>
  </si>
  <si>
    <t>ORD0229</t>
  </si>
  <si>
    <t>ORD0112</t>
  </si>
  <si>
    <t>ORD0063</t>
  </si>
  <si>
    <t>ORD0206</t>
  </si>
  <si>
    <t>ORD0338</t>
  </si>
  <si>
    <t>ORD0025</t>
  </si>
  <si>
    <t>ORD0071</t>
  </si>
  <si>
    <t>ORD0034</t>
  </si>
  <si>
    <t>ORD0060</t>
  </si>
  <si>
    <t>ORD0468</t>
  </si>
  <si>
    <t>ORD0249</t>
  </si>
  <si>
    <t>ORD0095</t>
  </si>
  <si>
    <t>ORD0254</t>
  </si>
  <si>
    <t>ORD0453</t>
  </si>
  <si>
    <t>ORD0101</t>
  </si>
  <si>
    <t>ORD0097</t>
  </si>
  <si>
    <t>ORD0424</t>
  </si>
  <si>
    <t>ORD0465</t>
  </si>
  <si>
    <t>ORD0006</t>
  </si>
  <si>
    <t>ORD0384</t>
  </si>
  <si>
    <t>ORD0248</t>
  </si>
  <si>
    <t>ORD0015</t>
  </si>
  <si>
    <t>ORD0013</t>
  </si>
  <si>
    <t>ORD0093</t>
  </si>
  <si>
    <t>ORD0287</t>
  </si>
  <si>
    <t>ORD0142</t>
  </si>
  <si>
    <t>ORD0387</t>
  </si>
  <si>
    <t>ORD0073</t>
  </si>
  <si>
    <t>ORD0484</t>
  </si>
  <si>
    <t>ORD0342</t>
  </si>
  <si>
    <t>ORD0242</t>
  </si>
  <si>
    <t>ORD0492</t>
  </si>
  <si>
    <t>ORD0299</t>
  </si>
  <si>
    <t>ORD0261</t>
  </si>
  <si>
    <t>ORD0223</t>
  </si>
  <si>
    <t>ORD0039</t>
  </si>
  <si>
    <t>ORD0343</t>
  </si>
  <si>
    <t>ORD0301</t>
  </si>
  <si>
    <t>ORD0393</t>
  </si>
  <si>
    <t>ORD0204</t>
  </si>
  <si>
    <t>ORD0435</t>
  </si>
  <si>
    <t>ORD0120</t>
  </si>
  <si>
    <t>ORD0113</t>
  </si>
  <si>
    <t>ORD0375</t>
  </si>
  <si>
    <t>ORD0497</t>
  </si>
  <si>
    <t>ORD0221</t>
  </si>
  <si>
    <t>ORD0002</t>
  </si>
  <si>
    <t>ORD0102</t>
  </si>
  <si>
    <t>ORD0184</t>
  </si>
  <si>
    <t>ORD0275</t>
  </si>
  <si>
    <t>ORD0237</t>
  </si>
  <si>
    <t>ORD0286</t>
  </si>
  <si>
    <t>ORD0481</t>
  </si>
  <si>
    <t>ORD0463</t>
  </si>
  <si>
    <t>ORD0319</t>
  </si>
  <si>
    <t>ORD0219</t>
  </si>
  <si>
    <t>ORD0207</t>
  </si>
  <si>
    <t>ORD0345</t>
  </si>
  <si>
    <t>ORD0281</t>
  </si>
  <si>
    <t>ORD0037</t>
  </si>
  <si>
    <t>ORD0329</t>
  </si>
  <si>
    <t>ORD0291</t>
  </si>
  <si>
    <t>ORD0269</t>
  </si>
  <si>
    <t>ORD0398</t>
  </si>
  <si>
    <t>ORD0426</t>
  </si>
  <si>
    <t>ORD0500</t>
  </si>
  <si>
    <t>ORD0289</t>
  </si>
  <si>
    <t>ORD0483</t>
  </si>
  <si>
    <t>ORD0119</t>
  </si>
  <si>
    <t>ORD0155</t>
  </si>
  <si>
    <t>ORD0421</t>
  </si>
  <si>
    <t>ORD0397</t>
  </si>
  <si>
    <t>ORD0418</t>
  </si>
  <si>
    <t>ORD0048</t>
  </si>
  <si>
    <t>ORD0284</t>
  </si>
  <si>
    <t>ORD0448</t>
  </si>
  <si>
    <t>ORD0278</t>
  </si>
  <si>
    <t>ORD0156</t>
  </si>
  <si>
    <t>ORD0294</t>
  </si>
  <si>
    <t>ORD0399</t>
  </si>
  <si>
    <t>ORD0265</t>
  </si>
  <si>
    <t>ORD0263</t>
  </si>
  <si>
    <t>ORD0089</t>
  </si>
  <si>
    <t>ORD0429</t>
  </si>
  <si>
    <t>ORD0379</t>
  </si>
  <si>
    <t>ORD0028</t>
  </si>
  <si>
    <t>ORD0235</t>
  </si>
  <si>
    <t>ORD0146</t>
  </si>
  <si>
    <t>ORD0140</t>
  </si>
  <si>
    <t>ORD0083</t>
  </si>
  <si>
    <t>ORD0131</t>
  </si>
  <si>
    <t>ORD0084</t>
  </si>
  <si>
    <t>ORD0326</t>
  </si>
  <si>
    <t>ORD0252</t>
  </si>
  <si>
    <t>ORD0271</t>
  </si>
  <si>
    <t>ORD0469</t>
  </si>
  <si>
    <t>ORD0340</t>
  </si>
  <si>
    <t>ORD0042</t>
  </si>
  <si>
    <t>ORD0103</t>
  </si>
  <si>
    <t>ORD0061</t>
  </si>
  <si>
    <t>ORD0464</t>
  </si>
  <si>
    <t>ORD0047</t>
  </si>
  <si>
    <t>ORD0024</t>
  </si>
  <si>
    <t>ORD0211</t>
  </si>
  <si>
    <t>ORD0193</t>
  </si>
  <si>
    <t>ORD0296</t>
  </si>
  <si>
    <t>ORD0280</t>
  </si>
  <si>
    <t>ORD0382</t>
  </si>
  <si>
    <t>ORD0167</t>
  </si>
  <si>
    <t>ORD0127</t>
  </si>
  <si>
    <t>ORD0436</t>
  </si>
  <si>
    <t>ORD0270</t>
  </si>
  <si>
    <t>ORD0327</t>
  </si>
  <si>
    <t>ORD0313</t>
  </si>
  <si>
    <t>ORD0072</t>
  </si>
  <si>
    <t>ORD0430</t>
  </si>
  <si>
    <t>ORD0056</t>
  </si>
  <si>
    <t>ORD0314</t>
  </si>
  <si>
    <t>ORD0241</t>
  </si>
  <si>
    <t>ORD0413</t>
  </si>
  <si>
    <t>ORD0306</t>
  </si>
  <si>
    <t>ORD0446</t>
  </si>
  <si>
    <t>ORD0441</t>
  </si>
  <si>
    <t>ORD0498</t>
  </si>
  <si>
    <t>ORD0288</t>
  </si>
  <si>
    <t>ORD0014</t>
  </si>
  <si>
    <t>ORD0292</t>
  </si>
  <si>
    <t>ORD0096</t>
  </si>
  <si>
    <t>ORD0417</t>
  </si>
  <si>
    <t>ORD0165</t>
  </si>
  <si>
    <t>ORD0107</t>
  </si>
  <si>
    <t>ORD0406</t>
  </si>
  <si>
    <t>ORD0092</t>
  </si>
  <si>
    <t>ORD0304</t>
  </si>
  <si>
    <t>ORD0143</t>
  </si>
  <si>
    <t>ORD0285</t>
  </si>
  <si>
    <t>ORD0357</t>
  </si>
  <si>
    <t>ORD0297</t>
  </si>
  <si>
    <t>ORD0157</t>
  </si>
  <si>
    <t>ORD0244</t>
  </si>
  <si>
    <t>ORD0425</t>
  </si>
  <si>
    <t>ORD0031</t>
  </si>
  <si>
    <t>ORD0104</t>
  </si>
  <si>
    <t>ORD0205</t>
  </si>
  <si>
    <t>ORD0352</t>
  </si>
  <si>
    <t>ORD0069</t>
  </si>
  <si>
    <t>ORD0130</t>
  </si>
  <si>
    <t>ORD0385</t>
  </si>
  <si>
    <t>ORD0158</t>
  </si>
  <si>
    <t>ORD0234</t>
  </si>
  <si>
    <t>ORD0182</t>
  </si>
  <si>
    <t>ORD0238</t>
  </si>
  <si>
    <t>ORD0391</t>
  </si>
  <si>
    <t>ORD0231</t>
  </si>
  <si>
    <t>ORD0147</t>
  </si>
  <si>
    <t>ORD0191</t>
  </si>
  <si>
    <t>ORD0257</t>
  </si>
  <si>
    <t>ORD0341</t>
  </si>
  <si>
    <t>ORD0004</t>
  </si>
  <si>
    <t>ORD0151</t>
  </si>
  <si>
    <t>ORD0176</t>
  </si>
  <si>
    <t>ORD0035</t>
  </si>
  <si>
    <t>ORD0344</t>
  </si>
  <si>
    <t>ORD0065</t>
  </si>
  <si>
    <t>ORD0392</t>
  </si>
  <si>
    <t>ORD0447</t>
  </si>
  <si>
    <t>ORD0365</t>
  </si>
  <si>
    <t>ORD0148</t>
  </si>
  <si>
    <t>ORD0217</t>
  </si>
  <si>
    <t>ORD0364</t>
  </si>
  <si>
    <t>ORD0488</t>
  </si>
  <si>
    <t>ORD0258</t>
  </si>
  <si>
    <t>ORD0360</t>
  </si>
  <si>
    <t>ORD0312</t>
  </si>
  <si>
    <t>ORD0135</t>
  </si>
  <si>
    <t>ORD0136</t>
  </si>
  <si>
    <t>ORD0074</t>
  </si>
  <si>
    <t>ORD0178</t>
  </si>
  <si>
    <t>ORD0407</t>
  </si>
  <si>
    <t>ORD0461</t>
  </si>
  <si>
    <t>ORD0052</t>
  </si>
  <si>
    <t>ORD0401</t>
  </si>
  <si>
    <t>ORD0349</t>
  </si>
  <si>
    <t>ORD0126</t>
  </si>
  <si>
    <t>ORD0459</t>
  </si>
  <si>
    <t>ORD0372</t>
  </si>
  <si>
    <t>ORD0321</t>
  </si>
  <si>
    <t>ORD0111</t>
  </si>
  <si>
    <t>ORD0122</t>
  </si>
  <si>
    <t>ORD0196</t>
  </si>
  <si>
    <t>ORD0478</t>
  </si>
  <si>
    <t>ORD0194</t>
  </si>
  <si>
    <t>ORD0067</t>
  </si>
  <si>
    <t>ORD0005</t>
  </si>
  <si>
    <t>ORD0091</t>
  </si>
  <si>
    <t>ORD0316</t>
  </si>
  <si>
    <t>ORD0300</t>
  </si>
  <si>
    <t>ORD0272</t>
  </si>
  <si>
    <t>ORD0009</t>
  </si>
  <si>
    <t>ORD0411</t>
  </si>
  <si>
    <t>ORD0057</t>
  </si>
  <si>
    <t>ORD0260</t>
  </si>
  <si>
    <t>ORD0172</t>
  </si>
  <si>
    <t>ORD0169</t>
  </si>
  <si>
    <t>ORD0274</t>
  </si>
  <si>
    <t>ORD0088</t>
  </si>
  <si>
    <t>ORD0367</t>
  </si>
  <si>
    <t>ORD0472</t>
  </si>
  <si>
    <t>ORD0144</t>
  </si>
  <si>
    <t>ORD0390</t>
  </si>
  <si>
    <t>ORD0203</t>
  </si>
  <si>
    <t>ORD0106</t>
  </si>
  <si>
    <t>ORD0351</t>
  </si>
  <si>
    <t>ORD0138</t>
  </si>
  <si>
    <t>ORD0400</t>
  </si>
  <si>
    <t>ORD0030</t>
  </si>
  <si>
    <t>ORD0323</t>
  </si>
  <si>
    <t>ORD0408</t>
  </si>
  <si>
    <t>ORD0366</t>
  </si>
  <si>
    <t>ORD0423</t>
  </si>
  <si>
    <t>ORD0105</t>
  </si>
  <si>
    <t>ORD0082</t>
  </si>
  <si>
    <t>ORD0220</t>
  </si>
  <si>
    <t>ORD0431</t>
  </si>
  <si>
    <t>ORD0076</t>
  </si>
  <si>
    <t>ORD0198</t>
  </si>
  <si>
    <t>ORD0377</t>
  </si>
  <si>
    <t>ORD0001</t>
  </si>
  <si>
    <t>ORD0250</t>
  </si>
  <si>
    <t>ORD0210</t>
  </si>
  <si>
    <t>ORD0336</t>
  </si>
  <si>
    <t>ORD0348</t>
  </si>
  <si>
    <t>ORD0309</t>
  </si>
  <si>
    <t>ORD0451</t>
  </si>
  <si>
    <t>ORD0361</t>
  </si>
  <si>
    <t>ORD0467</t>
  </si>
  <si>
    <t>ORD0255</t>
  </si>
  <si>
    <t>ORD0438</t>
  </si>
  <si>
    <t>ORD0282</t>
  </si>
  <si>
    <t>ORD0202</t>
  </si>
  <si>
    <t>ORD0173</t>
  </si>
  <si>
    <t>ORD0374</t>
  </si>
  <si>
    <t>ORD0317</t>
  </si>
  <si>
    <t>ORD0227</t>
  </si>
  <si>
    <t>ORD0474</t>
  </si>
  <si>
    <t>ORD0243</t>
  </si>
  <si>
    <t>Customer 064</t>
  </si>
  <si>
    <t>Customer 077</t>
  </si>
  <si>
    <t>Customer 006</t>
  </si>
  <si>
    <t>Customer 099</t>
  </si>
  <si>
    <t>Customer 024</t>
  </si>
  <si>
    <t>Customer 065</t>
  </si>
  <si>
    <t>Customer 007</t>
  </si>
  <si>
    <t>Customer 023</t>
  </si>
  <si>
    <t>Customer 085</t>
  </si>
  <si>
    <t>Customer 004</t>
  </si>
  <si>
    <t>Customer 048</t>
  </si>
  <si>
    <t>Customer 017</t>
  </si>
  <si>
    <t>Customer 046</t>
  </si>
  <si>
    <t>Customer 074</t>
  </si>
  <si>
    <t>Customer 089</t>
  </si>
  <si>
    <t>Customer 016</t>
  </si>
  <si>
    <t>Customer 044</t>
  </si>
  <si>
    <t>Customer 096</t>
  </si>
  <si>
    <t>Customer 002</t>
  </si>
  <si>
    <t>Customer 040</t>
  </si>
  <si>
    <t>Customer 092</t>
  </si>
  <si>
    <t>Customer 025</t>
  </si>
  <si>
    <t>Customer 057</t>
  </si>
  <si>
    <t>Customer 095</t>
  </si>
  <si>
    <t>Customer 067</t>
  </si>
  <si>
    <t>Customer 013</t>
  </si>
  <si>
    <t>Customer 030</t>
  </si>
  <si>
    <t>Customer 015</t>
  </si>
  <si>
    <t>Customer 090</t>
  </si>
  <si>
    <t>Customer 037</t>
  </si>
  <si>
    <t>Customer 098</t>
  </si>
  <si>
    <t>Customer 068</t>
  </si>
  <si>
    <t>Customer 019</t>
  </si>
  <si>
    <t>Customer 050</t>
  </si>
  <si>
    <t>Customer 021</t>
  </si>
  <si>
    <t>Customer 035</t>
  </si>
  <si>
    <t>Customer 039</t>
  </si>
  <si>
    <t>Customer 079</t>
  </si>
  <si>
    <t>Customer 061</t>
  </si>
  <si>
    <t>Customer 078</t>
  </si>
  <si>
    <t>Customer 081</t>
  </si>
  <si>
    <t>Customer 093</t>
  </si>
  <si>
    <t>Customer 029</t>
  </si>
  <si>
    <t>Customer 060</t>
  </si>
  <si>
    <t>Customer 028</t>
  </si>
  <si>
    <t>Customer 049</t>
  </si>
  <si>
    <t>Customer 005</t>
  </si>
  <si>
    <t>Customer 027</t>
  </si>
  <si>
    <t>Customer 026</t>
  </si>
  <si>
    <t>Customer 003</t>
  </si>
  <si>
    <t>Customer 087</t>
  </si>
  <si>
    <t>Customer 073</t>
  </si>
  <si>
    <t>Customer 020</t>
  </si>
  <si>
    <t>Customer 041</t>
  </si>
  <si>
    <t>Customer 043</t>
  </si>
  <si>
    <t>Customer 066</t>
  </si>
  <si>
    <t>Customer 022</t>
  </si>
  <si>
    <t>Customer 086</t>
  </si>
  <si>
    <t>Customer 054</t>
  </si>
  <si>
    <t>Customer 051</t>
  </si>
  <si>
    <t>Customer 014</t>
  </si>
  <si>
    <t>Customer 097</t>
  </si>
  <si>
    <t>Customer 071</t>
  </si>
  <si>
    <t>Customer 075</t>
  </si>
  <si>
    <t>Customer 094</t>
  </si>
  <si>
    <t>Customer 069</t>
  </si>
  <si>
    <t>Customer 018</t>
  </si>
  <si>
    <t>Customer 070</t>
  </si>
  <si>
    <t>Customer 072</t>
  </si>
  <si>
    <t>Customer 055</t>
  </si>
  <si>
    <t>Customer 033</t>
  </si>
  <si>
    <t>Customer 001</t>
  </si>
  <si>
    <t>Customer 034</t>
  </si>
  <si>
    <t>Customer 038</t>
  </si>
  <si>
    <t>Customer 062</t>
  </si>
  <si>
    <t>Customer 036</t>
  </si>
  <si>
    <t>Customer 012</t>
  </si>
  <si>
    <t>Customer 082</t>
  </si>
  <si>
    <t>Customer 047</t>
  </si>
  <si>
    <t>Customer 009</t>
  </si>
  <si>
    <t>Customer 088</t>
  </si>
  <si>
    <t>Customer 080</t>
  </si>
  <si>
    <t>Customer 010</t>
  </si>
  <si>
    <t>Customer 042</t>
  </si>
  <si>
    <t>Customer 008</t>
  </si>
  <si>
    <t>Customer 076</t>
  </si>
  <si>
    <t>Customer 053</t>
  </si>
  <si>
    <t>Customer 063</t>
  </si>
  <si>
    <t>Customer 058</t>
  </si>
  <si>
    <t>Customer 045</t>
  </si>
  <si>
    <t>Customer 031</t>
  </si>
  <si>
    <t>Customer 059</t>
  </si>
  <si>
    <t>Customer 084</t>
  </si>
  <si>
    <t>Customer 091</t>
  </si>
  <si>
    <t>Customer 083</t>
  </si>
  <si>
    <t>Customer 100</t>
  </si>
  <si>
    <t>Customer 032</t>
  </si>
  <si>
    <t>Customer 056</t>
  </si>
  <si>
    <t>Customer 052</t>
  </si>
  <si>
    <t>Backpack</t>
  </si>
  <si>
    <t>Headphones</t>
  </si>
  <si>
    <t>Laptop</t>
  </si>
  <si>
    <t>Pen Set</t>
  </si>
  <si>
    <t>Monitor</t>
  </si>
  <si>
    <t>Notebook</t>
  </si>
  <si>
    <t>Office Chair</t>
  </si>
  <si>
    <t>Desk</t>
  </si>
  <si>
    <t>Keyboard</t>
  </si>
  <si>
    <t>Mouse</t>
  </si>
  <si>
    <t>Accessories</t>
  </si>
  <si>
    <t>Electronics</t>
  </si>
  <si>
    <t>Stationery</t>
  </si>
  <si>
    <t>Furniture</t>
  </si>
  <si>
    <t>North</t>
  </si>
  <si>
    <t>East</t>
  </si>
  <si>
    <t>South</t>
  </si>
  <si>
    <t>West</t>
  </si>
  <si>
    <t>Sum of Sales</t>
  </si>
  <si>
    <t>Sum of Profit</t>
  </si>
  <si>
    <t>Sum of Quantity</t>
  </si>
  <si>
    <t>Row Labels</t>
  </si>
  <si>
    <t>Grand Total</t>
  </si>
  <si>
    <t>Jan</t>
  </si>
  <si>
    <t>Feb</t>
  </si>
  <si>
    <t>Mar</t>
  </si>
  <si>
    <t>Apr</t>
  </si>
  <si>
    <t>May</t>
  </si>
  <si>
    <t>Jun</t>
  </si>
  <si>
    <t>Jul</t>
  </si>
  <si>
    <t>Aug</t>
  </si>
  <si>
    <t>Sep</t>
  </si>
  <si>
    <t>Oct</t>
  </si>
  <si>
    <t>Nov</t>
  </si>
  <si>
    <t>Dec</t>
  </si>
  <si>
    <t>2025</t>
  </si>
  <si>
    <t>Total Sales</t>
  </si>
  <si>
    <t>Total Profit</t>
  </si>
  <si>
    <t>Total Quantity</t>
  </si>
  <si>
    <r>
      <t xml:space="preserve">                                                                </t>
    </r>
    <r>
      <rPr>
        <b/>
        <sz val="22"/>
        <color rgb="FF0070C0"/>
        <rFont val="Calibri"/>
        <family val="2"/>
        <scheme val="minor"/>
      </rPr>
      <t>Sales Analytics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</si>
</sst>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22"/>
      <color theme="1"/>
      <name val="Calibri"/>
      <family val="2"/>
      <scheme val="minor"/>
    </font>
    <font>
      <b/>
      <sz val="22"/>
      <color rgb="FF0070C0"/>
      <name val="Calibri"/>
      <family val="2"/>
      <scheme val="minor"/>
    </font>
    <font>
      <b/>
      <sz val="12"/>
      <color theme="1"/>
      <name val="Calibri"/>
      <family val="2"/>
      <scheme val="minor"/>
    </font>
    <font>
      <b/>
      <sz val="14"/>
      <color rgb="FF0070C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0" fontId="1" fillId="0" borderId="1" xfId="0" applyNumberFormat="1" applyFont="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applyAlignment="1">
      <alignment horizontal="left" vertical="center"/>
    </xf>
    <xf numFmtId="2" fontId="5" fillId="0" borderId="0" xfId="1" applyNumberFormat="1" applyFont="1"/>
    <xf numFmtId="2" fontId="5" fillId="0" borderId="0" xfId="0" applyNumberFormat="1" applyFont="1"/>
    <xf numFmtId="0" fontId="6" fillId="2" borderId="0" xfId="0" applyFont="1" applyFill="1"/>
  </cellXfs>
  <cellStyles count="2">
    <cellStyle name="Currency" xfId="1" builtinId="4"/>
    <cellStyle name="Normal" xfId="0" builtinId="0"/>
  </cellStyles>
  <dxfs count="9">
    <dxf>
      <font>
        <color rgb="FF9C0006"/>
      </font>
      <fill>
        <patternFill>
          <bgColor rgb="FFFFC7CE"/>
        </patternFill>
      </fill>
    </dxf>
    <dxf>
      <numFmt numFmtId="2" formatCode="0.00"/>
    </dxf>
    <dxf>
      <numFmt numFmtId="2" formatCode="0.00"/>
    </dxf>
    <dxf>
      <numFmt numFmtId="14" formatCode="0.00%"/>
    </dxf>
    <dxf>
      <numFmt numFmtId="2" formatCode="0.0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[Sales_Analytics_Project_Dataset.xlsx]category sales!PivotTable1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sales'!$B$3</c:f>
              <c:strCache>
                <c:ptCount val="1"/>
                <c:pt idx="0">
                  <c:v>Sum of Sales</c:v>
                </c:pt>
              </c:strCache>
            </c:strRef>
          </c:tx>
          <c:spPr>
            <a:solidFill>
              <a:schemeClr val="accent1"/>
            </a:solidFill>
            <a:ln>
              <a:noFill/>
            </a:ln>
            <a:effectLst/>
          </c:spPr>
          <c:invertIfNegative val="0"/>
          <c:cat>
            <c:strRef>
              <c:f>'category sales'!$A$4:$A$8</c:f>
              <c:strCache>
                <c:ptCount val="4"/>
                <c:pt idx="0">
                  <c:v>Electronics</c:v>
                </c:pt>
                <c:pt idx="1">
                  <c:v>Furniture</c:v>
                </c:pt>
                <c:pt idx="2">
                  <c:v>Accessories</c:v>
                </c:pt>
                <c:pt idx="3">
                  <c:v>Stationery</c:v>
                </c:pt>
              </c:strCache>
            </c:strRef>
          </c:cat>
          <c:val>
            <c:numRef>
              <c:f>'category sales'!$B$4:$B$8</c:f>
              <c:numCache>
                <c:formatCode>0.00</c:formatCode>
                <c:ptCount val="4"/>
                <c:pt idx="0">
                  <c:v>264679</c:v>
                </c:pt>
                <c:pt idx="1">
                  <c:v>92395</c:v>
                </c:pt>
                <c:pt idx="2">
                  <c:v>9900</c:v>
                </c:pt>
                <c:pt idx="3">
                  <c:v>4210.2000000000007</c:v>
                </c:pt>
              </c:numCache>
            </c:numRef>
          </c:val>
          <c:extLst>
            <c:ext xmlns:c16="http://schemas.microsoft.com/office/drawing/2014/chart" uri="{C3380CC4-5D6E-409C-BE32-E72D297353CC}">
              <c16:uniqueId val="{00000000-B54E-4124-8F40-E3334412E849}"/>
            </c:ext>
          </c:extLst>
        </c:ser>
        <c:ser>
          <c:idx val="1"/>
          <c:order val="1"/>
          <c:tx>
            <c:strRef>
              <c:f>'category sales'!$C$3</c:f>
              <c:strCache>
                <c:ptCount val="1"/>
                <c:pt idx="0">
                  <c:v>Sum of Quantity</c:v>
                </c:pt>
              </c:strCache>
            </c:strRef>
          </c:tx>
          <c:spPr>
            <a:solidFill>
              <a:schemeClr val="accent2"/>
            </a:solidFill>
            <a:ln>
              <a:noFill/>
            </a:ln>
            <a:effectLst/>
          </c:spPr>
          <c:invertIfNegative val="0"/>
          <c:cat>
            <c:strRef>
              <c:f>'category sales'!$A$4:$A$8</c:f>
              <c:strCache>
                <c:ptCount val="4"/>
                <c:pt idx="0">
                  <c:v>Electronics</c:v>
                </c:pt>
                <c:pt idx="1">
                  <c:v>Furniture</c:v>
                </c:pt>
                <c:pt idx="2">
                  <c:v>Accessories</c:v>
                </c:pt>
                <c:pt idx="3">
                  <c:v>Stationery</c:v>
                </c:pt>
              </c:strCache>
            </c:strRef>
          </c:cat>
          <c:val>
            <c:numRef>
              <c:f>'category sales'!$C$4:$C$8</c:f>
              <c:numCache>
                <c:formatCode>0.00</c:formatCode>
                <c:ptCount val="4"/>
                <c:pt idx="0">
                  <c:v>1213</c:v>
                </c:pt>
                <c:pt idx="1">
                  <c:v>423</c:v>
                </c:pt>
                <c:pt idx="2">
                  <c:v>188</c:v>
                </c:pt>
                <c:pt idx="3">
                  <c:v>439</c:v>
                </c:pt>
              </c:numCache>
            </c:numRef>
          </c:val>
          <c:extLst>
            <c:ext xmlns:c16="http://schemas.microsoft.com/office/drawing/2014/chart" uri="{C3380CC4-5D6E-409C-BE32-E72D297353CC}">
              <c16:uniqueId val="{00000001-B54E-4124-8F40-E3334412E849}"/>
            </c:ext>
          </c:extLst>
        </c:ser>
        <c:ser>
          <c:idx val="2"/>
          <c:order val="2"/>
          <c:tx>
            <c:strRef>
              <c:f>'category sales'!$D$3</c:f>
              <c:strCache>
                <c:ptCount val="1"/>
                <c:pt idx="0">
                  <c:v>Sum of Profit</c:v>
                </c:pt>
              </c:strCache>
            </c:strRef>
          </c:tx>
          <c:spPr>
            <a:solidFill>
              <a:schemeClr val="accent3"/>
            </a:solidFill>
            <a:ln>
              <a:noFill/>
            </a:ln>
            <a:effectLst/>
          </c:spPr>
          <c:invertIfNegative val="0"/>
          <c:cat>
            <c:strRef>
              <c:f>'category sales'!$A$4:$A$8</c:f>
              <c:strCache>
                <c:ptCount val="4"/>
                <c:pt idx="0">
                  <c:v>Electronics</c:v>
                </c:pt>
                <c:pt idx="1">
                  <c:v>Furniture</c:v>
                </c:pt>
                <c:pt idx="2">
                  <c:v>Accessories</c:v>
                </c:pt>
                <c:pt idx="3">
                  <c:v>Stationery</c:v>
                </c:pt>
              </c:strCache>
            </c:strRef>
          </c:cat>
          <c:val>
            <c:numRef>
              <c:f>'category sales'!$D$4:$D$8</c:f>
              <c:numCache>
                <c:formatCode>0.00</c:formatCode>
                <c:ptCount val="4"/>
                <c:pt idx="0">
                  <c:v>42820.94000000001</c:v>
                </c:pt>
                <c:pt idx="1">
                  <c:v>14824.229999999996</c:v>
                </c:pt>
                <c:pt idx="2">
                  <c:v>2178</c:v>
                </c:pt>
                <c:pt idx="3">
                  <c:v>1213.9300000000003</c:v>
                </c:pt>
              </c:numCache>
            </c:numRef>
          </c:val>
          <c:extLst>
            <c:ext xmlns:c16="http://schemas.microsoft.com/office/drawing/2014/chart" uri="{C3380CC4-5D6E-409C-BE32-E72D297353CC}">
              <c16:uniqueId val="{00000002-B54E-4124-8F40-E3334412E849}"/>
            </c:ext>
          </c:extLst>
        </c:ser>
        <c:dLbls>
          <c:showLegendKey val="0"/>
          <c:showVal val="0"/>
          <c:showCatName val="0"/>
          <c:showSerName val="0"/>
          <c:showPercent val="0"/>
          <c:showBubbleSize val="0"/>
        </c:dLbls>
        <c:gapWidth val="219"/>
        <c:overlap val="-27"/>
        <c:axId val="1821533616"/>
        <c:axId val="1821532176"/>
      </c:barChart>
      <c:catAx>
        <c:axId val="182153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32176"/>
        <c:crosses val="autoZero"/>
        <c:auto val="1"/>
        <c:lblAlgn val="ctr"/>
        <c:lblOffset val="100"/>
        <c:noMultiLvlLbl val="0"/>
      </c:catAx>
      <c:valAx>
        <c:axId val="182153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[Sales_Analytics_Project_Dataset.xlsx]region sales!PivotTable2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sales'!$B$3</c:f>
              <c:strCache>
                <c:ptCount val="1"/>
                <c:pt idx="0">
                  <c:v>Sum of Sales</c:v>
                </c:pt>
              </c:strCache>
            </c:strRef>
          </c:tx>
          <c:spPr>
            <a:solidFill>
              <a:schemeClr val="accent1"/>
            </a:solidFill>
            <a:ln>
              <a:noFill/>
            </a:ln>
            <a:effectLst/>
          </c:spPr>
          <c:invertIfNegative val="0"/>
          <c:cat>
            <c:strRef>
              <c:f>'region sales'!$A$4:$A$8</c:f>
              <c:strCache>
                <c:ptCount val="4"/>
                <c:pt idx="0">
                  <c:v>West</c:v>
                </c:pt>
                <c:pt idx="1">
                  <c:v>South</c:v>
                </c:pt>
                <c:pt idx="2">
                  <c:v>North</c:v>
                </c:pt>
                <c:pt idx="3">
                  <c:v>East</c:v>
                </c:pt>
              </c:strCache>
            </c:strRef>
          </c:cat>
          <c:val>
            <c:numRef>
              <c:f>'region sales'!$B$4:$B$8</c:f>
              <c:numCache>
                <c:formatCode>0.00</c:formatCode>
                <c:ptCount val="4"/>
                <c:pt idx="0">
                  <c:v>106149.45</c:v>
                </c:pt>
                <c:pt idx="1">
                  <c:v>105981.65000000001</c:v>
                </c:pt>
                <c:pt idx="2">
                  <c:v>80934.8</c:v>
                </c:pt>
                <c:pt idx="3">
                  <c:v>78118.3</c:v>
                </c:pt>
              </c:numCache>
            </c:numRef>
          </c:val>
          <c:extLst>
            <c:ext xmlns:c16="http://schemas.microsoft.com/office/drawing/2014/chart" uri="{C3380CC4-5D6E-409C-BE32-E72D297353CC}">
              <c16:uniqueId val="{00000000-2337-4B68-98BC-7E7208FFF233}"/>
            </c:ext>
          </c:extLst>
        </c:ser>
        <c:ser>
          <c:idx val="1"/>
          <c:order val="1"/>
          <c:tx>
            <c:strRef>
              <c:f>'region sales'!$C$3</c:f>
              <c:strCache>
                <c:ptCount val="1"/>
                <c:pt idx="0">
                  <c:v>Sum of Profit</c:v>
                </c:pt>
              </c:strCache>
            </c:strRef>
          </c:tx>
          <c:spPr>
            <a:solidFill>
              <a:schemeClr val="accent2"/>
            </a:solidFill>
            <a:ln>
              <a:noFill/>
            </a:ln>
            <a:effectLst/>
          </c:spPr>
          <c:invertIfNegative val="0"/>
          <c:cat>
            <c:strRef>
              <c:f>'region sales'!$A$4:$A$8</c:f>
              <c:strCache>
                <c:ptCount val="4"/>
                <c:pt idx="0">
                  <c:v>West</c:v>
                </c:pt>
                <c:pt idx="1">
                  <c:v>South</c:v>
                </c:pt>
                <c:pt idx="2">
                  <c:v>North</c:v>
                </c:pt>
                <c:pt idx="3">
                  <c:v>East</c:v>
                </c:pt>
              </c:strCache>
            </c:strRef>
          </c:cat>
          <c:val>
            <c:numRef>
              <c:f>'region sales'!$C$4:$C$8</c:f>
              <c:numCache>
                <c:formatCode>0.00</c:formatCode>
                <c:ptCount val="4"/>
                <c:pt idx="0">
                  <c:v>17337.75</c:v>
                </c:pt>
                <c:pt idx="1">
                  <c:v>17331.029999999992</c:v>
                </c:pt>
                <c:pt idx="2">
                  <c:v>13529.689999999995</c:v>
                </c:pt>
                <c:pt idx="3">
                  <c:v>12838.629999999992</c:v>
                </c:pt>
              </c:numCache>
            </c:numRef>
          </c:val>
          <c:extLst>
            <c:ext xmlns:c16="http://schemas.microsoft.com/office/drawing/2014/chart" uri="{C3380CC4-5D6E-409C-BE32-E72D297353CC}">
              <c16:uniqueId val="{00000001-2337-4B68-98BC-7E7208FFF233}"/>
            </c:ext>
          </c:extLst>
        </c:ser>
        <c:dLbls>
          <c:showLegendKey val="0"/>
          <c:showVal val="0"/>
          <c:showCatName val="0"/>
          <c:showSerName val="0"/>
          <c:showPercent val="0"/>
          <c:showBubbleSize val="0"/>
        </c:dLbls>
        <c:gapWidth val="219"/>
        <c:overlap val="-27"/>
        <c:axId val="1675197264"/>
        <c:axId val="1675197744"/>
      </c:barChart>
      <c:catAx>
        <c:axId val="167519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97744"/>
        <c:crosses val="autoZero"/>
        <c:auto val="1"/>
        <c:lblAlgn val="ctr"/>
        <c:lblOffset val="100"/>
        <c:noMultiLvlLbl val="0"/>
      </c:catAx>
      <c:valAx>
        <c:axId val="1675197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9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[Sales_Analytics_Project_Dataset.xlsx]month sales!PivotTable3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sales'!$B$3</c:f>
              <c:strCache>
                <c:ptCount val="1"/>
                <c:pt idx="0">
                  <c:v>Total</c:v>
                </c:pt>
              </c:strCache>
            </c:strRef>
          </c:tx>
          <c:spPr>
            <a:ln w="28575" cap="rnd">
              <a:solidFill>
                <a:schemeClr val="accent1"/>
              </a:solidFill>
              <a:round/>
            </a:ln>
            <a:effectLst/>
          </c:spPr>
          <c:marker>
            <c:symbol val="none"/>
          </c:marker>
          <c:cat>
            <c:multiLvlStrRef>
              <c:f>'month sales'!$A$4:$A$17</c:f>
              <c:multiLvlStrCache>
                <c:ptCount val="12"/>
                <c:lvl>
                  <c:pt idx="0">
                    <c:v>Nov</c:v>
                  </c:pt>
                  <c:pt idx="1">
                    <c:v>Feb</c:v>
                  </c:pt>
                  <c:pt idx="2">
                    <c:v>Apr</c:v>
                  </c:pt>
                  <c:pt idx="3">
                    <c:v>Mar</c:v>
                  </c:pt>
                  <c:pt idx="4">
                    <c:v>Oct</c:v>
                  </c:pt>
                  <c:pt idx="5">
                    <c:v>Jun</c:v>
                  </c:pt>
                  <c:pt idx="6">
                    <c:v>May</c:v>
                  </c:pt>
                  <c:pt idx="7">
                    <c:v>Aug</c:v>
                  </c:pt>
                  <c:pt idx="8">
                    <c:v>Jan</c:v>
                  </c:pt>
                  <c:pt idx="9">
                    <c:v>Dec</c:v>
                  </c:pt>
                  <c:pt idx="10">
                    <c:v>Jul</c:v>
                  </c:pt>
                  <c:pt idx="11">
                    <c:v>Sep</c:v>
                  </c:pt>
                </c:lvl>
                <c:lvl>
                  <c:pt idx="0">
                    <c:v>2025</c:v>
                  </c:pt>
                </c:lvl>
              </c:multiLvlStrCache>
            </c:multiLvlStrRef>
          </c:cat>
          <c:val>
            <c:numRef>
              <c:f>'month sales'!$B$4:$B$17</c:f>
              <c:numCache>
                <c:formatCode>0.00</c:formatCode>
                <c:ptCount val="12"/>
                <c:pt idx="0">
                  <c:v>46159.199999999997</c:v>
                </c:pt>
                <c:pt idx="1">
                  <c:v>39470.050000000003</c:v>
                </c:pt>
                <c:pt idx="2">
                  <c:v>37624.800000000003</c:v>
                </c:pt>
                <c:pt idx="3">
                  <c:v>35910.550000000003</c:v>
                </c:pt>
                <c:pt idx="4">
                  <c:v>35413.599999999999</c:v>
                </c:pt>
                <c:pt idx="5">
                  <c:v>30190.6</c:v>
                </c:pt>
                <c:pt idx="6">
                  <c:v>29524.25</c:v>
                </c:pt>
                <c:pt idx="7">
                  <c:v>26186.750000000004</c:v>
                </c:pt>
                <c:pt idx="8">
                  <c:v>25903.649999999998</c:v>
                </c:pt>
                <c:pt idx="9">
                  <c:v>22298.6</c:v>
                </c:pt>
                <c:pt idx="10">
                  <c:v>21599.55</c:v>
                </c:pt>
                <c:pt idx="11">
                  <c:v>20902.599999999999</c:v>
                </c:pt>
              </c:numCache>
            </c:numRef>
          </c:val>
          <c:smooth val="0"/>
          <c:extLst>
            <c:ext xmlns:c16="http://schemas.microsoft.com/office/drawing/2014/chart" uri="{C3380CC4-5D6E-409C-BE32-E72D297353CC}">
              <c16:uniqueId val="{00000000-3842-4707-BD92-3330E98AB4CD}"/>
            </c:ext>
          </c:extLst>
        </c:ser>
        <c:dLbls>
          <c:showLegendKey val="0"/>
          <c:showVal val="0"/>
          <c:showCatName val="0"/>
          <c:showSerName val="0"/>
          <c:showPercent val="0"/>
          <c:showBubbleSize val="0"/>
        </c:dLbls>
        <c:smooth val="0"/>
        <c:axId val="1821941296"/>
        <c:axId val="1771916736"/>
      </c:lineChart>
      <c:catAx>
        <c:axId val="182194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916736"/>
        <c:crosses val="autoZero"/>
        <c:auto val="1"/>
        <c:lblAlgn val="ctr"/>
        <c:lblOffset val="100"/>
        <c:noMultiLvlLbl val="0"/>
      </c:catAx>
      <c:valAx>
        <c:axId val="1771916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9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[Sales_Analytics_Project_Dataset.xlsx]product sales!PivotTable4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sales'!$B$3</c:f>
              <c:strCache>
                <c:ptCount val="1"/>
                <c:pt idx="0">
                  <c:v>Sum of Sales</c:v>
                </c:pt>
              </c:strCache>
            </c:strRef>
          </c:tx>
          <c:spPr>
            <a:solidFill>
              <a:schemeClr val="accent1"/>
            </a:solidFill>
            <a:ln>
              <a:noFill/>
            </a:ln>
            <a:effectLst/>
          </c:spPr>
          <c:invertIfNegative val="0"/>
          <c:cat>
            <c:strRef>
              <c:f>'product sales'!$A$4:$A$14</c:f>
              <c:strCache>
                <c:ptCount val="10"/>
                <c:pt idx="0">
                  <c:v>Laptop</c:v>
                </c:pt>
                <c:pt idx="1">
                  <c:v>Desk</c:v>
                </c:pt>
                <c:pt idx="2">
                  <c:v>Monitor</c:v>
                </c:pt>
                <c:pt idx="3">
                  <c:v>Office Chair</c:v>
                </c:pt>
                <c:pt idx="4">
                  <c:v>Headphones</c:v>
                </c:pt>
                <c:pt idx="5">
                  <c:v>Keyboard</c:v>
                </c:pt>
                <c:pt idx="6">
                  <c:v>Backpack</c:v>
                </c:pt>
                <c:pt idx="7">
                  <c:v>Mouse</c:v>
                </c:pt>
                <c:pt idx="8">
                  <c:v>Pen Set</c:v>
                </c:pt>
                <c:pt idx="9">
                  <c:v>Notebook</c:v>
                </c:pt>
              </c:strCache>
            </c:strRef>
          </c:cat>
          <c:val>
            <c:numRef>
              <c:f>'product sales'!$B$4:$B$14</c:f>
              <c:numCache>
                <c:formatCode>0.00</c:formatCode>
                <c:ptCount val="10"/>
                <c:pt idx="0">
                  <c:v>184827.5</c:v>
                </c:pt>
                <c:pt idx="1">
                  <c:v>60229</c:v>
                </c:pt>
                <c:pt idx="2">
                  <c:v>45089</c:v>
                </c:pt>
                <c:pt idx="3">
                  <c:v>32166</c:v>
                </c:pt>
                <c:pt idx="4">
                  <c:v>18687.25</c:v>
                </c:pt>
                <c:pt idx="5">
                  <c:v>10392.75</c:v>
                </c:pt>
                <c:pt idx="6">
                  <c:v>9900</c:v>
                </c:pt>
                <c:pt idx="7">
                  <c:v>5682.5</c:v>
                </c:pt>
                <c:pt idx="8">
                  <c:v>2455.7999999999997</c:v>
                </c:pt>
                <c:pt idx="9">
                  <c:v>1754.4</c:v>
                </c:pt>
              </c:numCache>
            </c:numRef>
          </c:val>
          <c:extLst>
            <c:ext xmlns:c16="http://schemas.microsoft.com/office/drawing/2014/chart" uri="{C3380CC4-5D6E-409C-BE32-E72D297353CC}">
              <c16:uniqueId val="{00000000-1803-4531-B3C6-708F2ED5196A}"/>
            </c:ext>
          </c:extLst>
        </c:ser>
        <c:ser>
          <c:idx val="1"/>
          <c:order val="1"/>
          <c:tx>
            <c:strRef>
              <c:f>'product sales'!$C$3</c:f>
              <c:strCache>
                <c:ptCount val="1"/>
                <c:pt idx="0">
                  <c:v>Sum of Profit</c:v>
                </c:pt>
              </c:strCache>
            </c:strRef>
          </c:tx>
          <c:spPr>
            <a:solidFill>
              <a:schemeClr val="accent2"/>
            </a:solidFill>
            <a:ln>
              <a:noFill/>
            </a:ln>
            <a:effectLst/>
          </c:spPr>
          <c:invertIfNegative val="0"/>
          <c:cat>
            <c:strRef>
              <c:f>'product sales'!$A$4:$A$14</c:f>
              <c:strCache>
                <c:ptCount val="10"/>
                <c:pt idx="0">
                  <c:v>Laptop</c:v>
                </c:pt>
                <c:pt idx="1">
                  <c:v>Desk</c:v>
                </c:pt>
                <c:pt idx="2">
                  <c:v>Monitor</c:v>
                </c:pt>
                <c:pt idx="3">
                  <c:v>Office Chair</c:v>
                </c:pt>
                <c:pt idx="4">
                  <c:v>Headphones</c:v>
                </c:pt>
                <c:pt idx="5">
                  <c:v>Keyboard</c:v>
                </c:pt>
                <c:pt idx="6">
                  <c:v>Backpack</c:v>
                </c:pt>
                <c:pt idx="7">
                  <c:v>Mouse</c:v>
                </c:pt>
                <c:pt idx="8">
                  <c:v>Pen Set</c:v>
                </c:pt>
                <c:pt idx="9">
                  <c:v>Notebook</c:v>
                </c:pt>
              </c:strCache>
            </c:strRef>
          </c:cat>
          <c:val>
            <c:numRef>
              <c:f>'product sales'!$C$4:$C$14</c:f>
              <c:numCache>
                <c:formatCode>0.00</c:formatCode>
                <c:ptCount val="10"/>
                <c:pt idx="0">
                  <c:v>29572.399999999994</c:v>
                </c:pt>
                <c:pt idx="1">
                  <c:v>9034.35</c:v>
                </c:pt>
                <c:pt idx="2">
                  <c:v>6312.4600000000019</c:v>
                </c:pt>
                <c:pt idx="3">
                  <c:v>5789.8799999999974</c:v>
                </c:pt>
                <c:pt idx="4">
                  <c:v>3550.5500000000015</c:v>
                </c:pt>
                <c:pt idx="5">
                  <c:v>2078.5500000000002</c:v>
                </c:pt>
                <c:pt idx="6">
                  <c:v>2178</c:v>
                </c:pt>
                <c:pt idx="7">
                  <c:v>1306.98</c:v>
                </c:pt>
                <c:pt idx="8">
                  <c:v>687.61</c:v>
                </c:pt>
                <c:pt idx="9">
                  <c:v>526.32000000000005</c:v>
                </c:pt>
              </c:numCache>
            </c:numRef>
          </c:val>
          <c:extLst>
            <c:ext xmlns:c16="http://schemas.microsoft.com/office/drawing/2014/chart" uri="{C3380CC4-5D6E-409C-BE32-E72D297353CC}">
              <c16:uniqueId val="{00000001-1803-4531-B3C6-708F2ED5196A}"/>
            </c:ext>
          </c:extLst>
        </c:ser>
        <c:dLbls>
          <c:showLegendKey val="0"/>
          <c:showVal val="0"/>
          <c:showCatName val="0"/>
          <c:showSerName val="0"/>
          <c:showPercent val="0"/>
          <c:showBubbleSize val="0"/>
        </c:dLbls>
        <c:gapWidth val="182"/>
        <c:axId val="2000450719"/>
        <c:axId val="2000452159"/>
      </c:barChart>
      <c:catAx>
        <c:axId val="200045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52159"/>
        <c:crosses val="autoZero"/>
        <c:auto val="1"/>
        <c:lblAlgn val="ctr"/>
        <c:lblOffset val="100"/>
        <c:noMultiLvlLbl val="0"/>
      </c:catAx>
      <c:valAx>
        <c:axId val="20004521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5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146050</xdr:rowOff>
    </xdr:from>
    <xdr:to>
      <xdr:col>4</xdr:col>
      <xdr:colOff>127000</xdr:colOff>
      <xdr:row>19</xdr:row>
      <xdr:rowOff>127000</xdr:rowOff>
    </xdr:to>
    <xdr:graphicFrame macro="">
      <xdr:nvGraphicFramePr>
        <xdr:cNvPr id="2" name="Chart 1">
          <a:extLst>
            <a:ext uri="{FF2B5EF4-FFF2-40B4-BE49-F238E27FC236}">
              <a16:creationId xmlns:a16="http://schemas.microsoft.com/office/drawing/2014/main" id="{5EDA3C2F-9C94-53BD-CB20-F9F226487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31750</xdr:colOff>
      <xdr:row>20</xdr:row>
      <xdr:rowOff>88900</xdr:rowOff>
    </xdr:from>
    <xdr:to>
      <xdr:col>4</xdr:col>
      <xdr:colOff>158750</xdr:colOff>
      <xdr:row>35</xdr:row>
      <xdr:rowOff>69850</xdr:rowOff>
    </xdr:to>
    <xdr:graphicFrame macro="">
      <xdr:nvGraphicFramePr>
        <xdr:cNvPr id="3" name="Chart 1">
          <a:extLst>
            <a:ext uri="{FF2B5EF4-FFF2-40B4-BE49-F238E27FC236}">
              <a16:creationId xmlns:a16="http://schemas.microsoft.com/office/drawing/2014/main" id="{AB2774C7-BF78-4AFD-65A5-1317374D8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xdr:colOff>
      <xdr:row>36</xdr:row>
      <xdr:rowOff>31750</xdr:rowOff>
    </xdr:from>
    <xdr:to>
      <xdr:col>4</xdr:col>
      <xdr:colOff>152400</xdr:colOff>
      <xdr:row>51</xdr:row>
      <xdr:rowOff>12700</xdr:rowOff>
    </xdr:to>
    <xdr:graphicFrame macro="">
      <xdr:nvGraphicFramePr>
        <xdr:cNvPr id="5" name="Chart 2">
          <a:extLst>
            <a:ext uri="{FF2B5EF4-FFF2-40B4-BE49-F238E27FC236}">
              <a16:creationId xmlns:a16="http://schemas.microsoft.com/office/drawing/2014/main" id="{9CFF9D22-C06D-4A46-5EE0-FA3374BB8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349250</xdr:colOff>
      <xdr:row>4</xdr:row>
      <xdr:rowOff>146050</xdr:rowOff>
    </xdr:from>
    <xdr:to>
      <xdr:col>8</xdr:col>
      <xdr:colOff>476250</xdr:colOff>
      <xdr:row>19</xdr:row>
      <xdr:rowOff>127000</xdr:rowOff>
    </xdr:to>
    <xdr:graphicFrame macro="">
      <xdr:nvGraphicFramePr>
        <xdr:cNvPr id="4" name="Chart 1">
          <a:extLst>
            <a:ext uri="{FF2B5EF4-FFF2-40B4-BE49-F238E27FC236}">
              <a16:creationId xmlns:a16="http://schemas.microsoft.com/office/drawing/2014/main" id="{25FADE5D-EFA4-007F-F22A-ADAEFA660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450850</xdr:colOff>
      <xdr:row>21</xdr:row>
      <xdr:rowOff>25400</xdr:rowOff>
    </xdr:from>
    <xdr:to>
      <xdr:col>6</xdr:col>
      <xdr:colOff>57150</xdr:colOff>
      <xdr:row>34</xdr:row>
      <xdr:rowOff>155575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B4F4237-D2B8-4069-98F3-C1EFE5CE6B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95850" y="413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311150</xdr:colOff>
      <xdr:row>21</xdr:row>
      <xdr:rowOff>6350</xdr:rowOff>
    </xdr:from>
    <xdr:to>
      <xdr:col>7</xdr:col>
      <xdr:colOff>1028700</xdr:colOff>
      <xdr:row>34</xdr:row>
      <xdr:rowOff>136525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FEABFDA6-A1D7-4854-A678-3817F17E12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978650" y="411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bashina C A" refreshedDate="46271.699754861111" createdVersion="8" refreshedVersion="8" minRefreshableVersion="3" recordCount="500" xr:uid="{39451F8E-1370-4025-AE04-57390677EE7D}">
  <cacheSource type="worksheet">
    <worksheetSource name="Table1"/>
  </cacheSource>
  <cacheFields count="12">
    <cacheField name="Order ID" numFmtId="0">
      <sharedItems/>
    </cacheField>
    <cacheField name="Order Date" numFmtId="14">
      <sharedItems containsSemiMixedTypes="0" containsNonDate="0" containsDate="1" containsString="0" minDate="2025-01-01T00:00:00" maxDate="2026-01-01T00:00:00" count="272">
        <d v="2025-01-01T00:00:00"/>
        <d v="2025-01-02T00:00:00"/>
        <d v="2025-01-03T00:00:00"/>
        <d v="2025-01-04T00:00:00"/>
        <d v="2025-01-05T00:00:00"/>
        <d v="2025-01-07T00:00:00"/>
        <d v="2025-01-08T00:00:00"/>
        <d v="2025-01-09T00:00:00"/>
        <d v="2025-01-10T00:00:00"/>
        <d v="2025-01-11T00:00:00"/>
        <d v="2025-01-12T00:00:00"/>
        <d v="2025-01-14T00:00:00"/>
        <d v="2025-01-15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2-01T00:00:00"/>
        <d v="2025-02-02T00:00:00"/>
        <d v="2025-02-03T00:00:00"/>
        <d v="2025-02-04T00:00:00"/>
        <d v="2025-02-05T00:00:00"/>
        <d v="2025-02-08T00:00:00"/>
        <d v="2025-02-09T00:00:00"/>
        <d v="2025-02-10T00:00:00"/>
        <d v="2025-02-11T00:00:00"/>
        <d v="2025-02-12T00:00:00"/>
        <d v="2025-02-13T00:00:00"/>
        <d v="2025-02-15T00:00:00"/>
        <d v="2025-02-16T00:00:00"/>
        <d v="2025-02-17T00:00:00"/>
        <d v="2025-02-18T00:00:00"/>
        <d v="2025-02-20T00:00:00"/>
        <d v="2025-02-21T00:00:00"/>
        <d v="2025-02-22T00:00:00"/>
        <d v="2025-02-23T00:00:00"/>
        <d v="2025-02-24T00:00:00"/>
        <d v="2025-02-25T00:00:00"/>
        <d v="2025-02-26T00:00:00"/>
        <d v="2025-02-28T00:00:00"/>
        <d v="2025-03-01T00:00:00"/>
        <d v="2025-03-02T00:00:00"/>
        <d v="2025-03-03T00:00:00"/>
        <d v="2025-03-04T00:00:00"/>
        <d v="2025-03-05T00:00:00"/>
        <d v="2025-03-06T00:00:00"/>
        <d v="2025-03-07T00:00:00"/>
        <d v="2025-03-08T00:00:00"/>
        <d v="2025-03-09T00:00:00"/>
        <d v="2025-03-10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9T00:00:00"/>
        <d v="2025-03-30T00:00:00"/>
        <d v="2025-03-31T00:00:00"/>
        <d v="2025-04-02T00:00:00"/>
        <d v="2025-04-04T00:00:00"/>
        <d v="2025-04-05T00:00:00"/>
        <d v="2025-04-06T00:00:00"/>
        <d v="2025-04-08T00:00:00"/>
        <d v="2025-04-09T00:00:00"/>
        <d v="2025-04-11T00:00:00"/>
        <d v="2025-04-13T00:00:00"/>
        <d v="2025-04-14T00:00:00"/>
        <d v="2025-04-15T00:00:00"/>
        <d v="2025-04-16T00:00:00"/>
        <d v="2025-04-17T00:00:00"/>
        <d v="2025-04-18T00:00:00"/>
        <d v="2025-04-19T00:00:00"/>
        <d v="2025-04-21T00:00:00"/>
        <d v="2025-04-22T00:00:00"/>
        <d v="2025-04-23T00:00:00"/>
        <d v="2025-04-24T00:00:00"/>
        <d v="2025-04-26T00:00:00"/>
        <d v="2025-04-27T00:00:00"/>
        <d v="2025-04-28T00:00:00"/>
        <d v="2025-04-29T00:00:00"/>
        <d v="2025-05-01T00:00:00"/>
        <d v="2025-05-03T00:00:00"/>
        <d v="2025-05-04T00:00:00"/>
        <d v="2025-05-05T00:00:00"/>
        <d v="2025-05-06T00:00:00"/>
        <d v="2025-05-07T00:00:00"/>
        <d v="2025-05-08T00:00:00"/>
        <d v="2025-05-09T00:00:00"/>
        <d v="2025-05-10T00:00:00"/>
        <d v="2025-05-12T00:00:00"/>
        <d v="2025-05-14T00:00:00"/>
        <d v="2025-05-15T00:00:00"/>
        <d v="2025-05-16T00:00:00"/>
        <d v="2025-05-17T00:00:00"/>
        <d v="2025-05-18T00:00:00"/>
        <d v="2025-05-22T00:00:00"/>
        <d v="2025-05-23T00:00:00"/>
        <d v="2025-05-24T00:00:00"/>
        <d v="2025-05-25T00:00:00"/>
        <d v="2025-05-27T00:00:00"/>
        <d v="2025-05-28T00:00:00"/>
        <d v="2025-05-29T00:00:00"/>
        <d v="2025-05-31T00:00:00"/>
        <d v="2025-06-01T00:00:00"/>
        <d v="2025-06-02T00:00:00"/>
        <d v="2025-06-03T00:00:00"/>
        <d v="2025-06-04T00:00:00"/>
        <d v="2025-06-05T00:00:00"/>
        <d v="2025-06-06T00:00:00"/>
        <d v="2025-06-09T00:00:00"/>
        <d v="2025-06-10T00:00:00"/>
        <d v="2025-06-11T00:00:00"/>
        <d v="2025-06-12T00:00:00"/>
        <d v="2025-06-13T00:00:00"/>
        <d v="2025-06-14T00:00:00"/>
        <d v="2025-06-17T00:00:00"/>
        <d v="2025-06-19T00:00:00"/>
        <d v="2025-06-20T00:00:00"/>
        <d v="2025-06-21T00:00:00"/>
        <d v="2025-06-22T00:00:00"/>
        <d v="2025-06-23T00:00:00"/>
        <d v="2025-06-24T00:00:00"/>
        <d v="2025-06-28T00:00:00"/>
        <d v="2025-06-29T00:00:00"/>
        <d v="2025-06-30T00:00:00"/>
        <d v="2025-07-02T00:00:00"/>
        <d v="2025-07-04T00:00:00"/>
        <d v="2025-07-05T00:00:00"/>
        <d v="2025-07-06T00:00:00"/>
        <d v="2025-07-07T00:00:00"/>
        <d v="2025-07-09T00:00:00"/>
        <d v="2025-07-10T00:00:00"/>
        <d v="2025-07-11T00:00:00"/>
        <d v="2025-07-12T00:00:00"/>
        <d v="2025-07-14T00:00:00"/>
        <d v="2025-07-15T00:00:00"/>
        <d v="2025-07-17T00:00:00"/>
        <d v="2025-07-18T00:00:00"/>
        <d v="2025-07-20T00:00:00"/>
        <d v="2025-07-22T00:00:00"/>
        <d v="2025-07-25T00:00:00"/>
        <d v="2025-07-27T00:00:00"/>
        <d v="2025-07-30T00:00:00"/>
        <d v="2025-07-31T00:00:00"/>
        <d v="2025-08-01T00:00:00"/>
        <d v="2025-08-02T00:00:00"/>
        <d v="2025-08-03T00:00:00"/>
        <d v="2025-08-04T00:00:00"/>
        <d v="2025-08-05T00:00:00"/>
        <d v="2025-08-07T00:00:00"/>
        <d v="2025-08-08T00:00:00"/>
        <d v="2025-08-09T00:00:00"/>
        <d v="2025-08-10T00:00:00"/>
        <d v="2025-08-11T00:00:00"/>
        <d v="2025-08-12T00:00:00"/>
        <d v="2025-08-13T00:00:00"/>
        <d v="2025-08-14T00:00:00"/>
        <d v="2025-08-15T00:00:00"/>
        <d v="2025-08-16T00:00:00"/>
        <d v="2025-08-18T00:00:00"/>
        <d v="2025-08-19T00:00:00"/>
        <d v="2025-08-21T00:00:00"/>
        <d v="2025-08-23T00:00:00"/>
        <d v="2025-08-24T00:00:00"/>
        <d v="2025-08-25T00:00:00"/>
        <d v="2025-08-29T00:00:00"/>
        <d v="2025-08-30T00:00:00"/>
        <d v="2025-08-31T00:00:00"/>
        <d v="2025-09-01T00:00:00"/>
        <d v="2025-09-06T00:00:00"/>
        <d v="2025-09-07T00:00:00"/>
        <d v="2025-09-08T00:00:00"/>
        <d v="2025-09-09T00:00:00"/>
        <d v="2025-09-10T00:00:00"/>
        <d v="2025-09-11T00:00:00"/>
        <d v="2025-09-12T00:00:00"/>
        <d v="2025-09-14T00:00:00"/>
        <d v="2025-09-15T00:00:00"/>
        <d v="2025-09-16T00:00:00"/>
        <d v="2025-09-18T00:00:00"/>
        <d v="2025-09-19T00:00:00"/>
        <d v="2025-09-21T00:00:00"/>
        <d v="2025-09-23T00:00:00"/>
        <d v="2025-09-24T00:00:00"/>
        <d v="2025-09-25T00:00:00"/>
        <d v="2025-09-26T00:00:00"/>
        <d v="2025-09-27T00:00:00"/>
        <d v="2025-09-28T00:00:00"/>
        <d v="2025-09-30T00:00:00"/>
        <d v="2025-10-02T00:00:00"/>
        <d v="2025-10-03T00:00:00"/>
        <d v="2025-10-04T00:00:00"/>
        <d v="2025-10-05T00:00:00"/>
        <d v="2025-10-06T00:00:00"/>
        <d v="2025-10-08T00:00:00"/>
        <d v="2025-10-09T00:00:00"/>
        <d v="2025-10-10T00:00:00"/>
        <d v="2025-10-13T00:00:00"/>
        <d v="2025-10-14T00:00:00"/>
        <d v="2025-10-15T00:00:00"/>
        <d v="2025-10-16T00:00:00"/>
        <d v="2025-10-18T00:00:00"/>
        <d v="2025-10-19T00:00:00"/>
        <d v="2025-10-20T00:00:00"/>
        <d v="2025-10-21T00:00:00"/>
        <d v="2025-10-22T00:00:00"/>
        <d v="2025-10-26T00:00:00"/>
        <d v="2025-10-27T00:00:00"/>
        <d v="2025-10-29T00:00:00"/>
        <d v="2025-10-30T00:00:00"/>
        <d v="2025-10-31T00:00:00"/>
        <d v="2025-11-01T00:00:00"/>
        <d v="2025-11-02T00:00:00"/>
        <d v="2025-11-04T00:00:00"/>
        <d v="2025-11-05T00:00:00"/>
        <d v="2025-11-06T00:00:00"/>
        <d v="2025-11-07T00:00:00"/>
        <d v="2025-11-08T00:00:00"/>
        <d v="2025-11-09T00:00:00"/>
        <d v="2025-11-10T00:00:00"/>
        <d v="2025-11-12T00:00:00"/>
        <d v="2025-11-13T00:00:00"/>
        <d v="2025-11-15T00:00:00"/>
        <d v="2025-11-16T00:00:00"/>
        <d v="2025-11-17T00:00:00"/>
        <d v="2025-11-19T00:00:00"/>
        <d v="2025-11-20T00:00:00"/>
        <d v="2025-11-21T00:00:00"/>
        <d v="2025-11-22T00:00:00"/>
        <d v="2025-11-23T00:00:00"/>
        <d v="2025-11-24T00:00:00"/>
        <d v="2025-11-26T00:00:00"/>
        <d v="2025-11-27T00:00:00"/>
        <d v="2025-11-28T00:00:00"/>
        <d v="2025-12-02T00:00:00"/>
        <d v="2025-12-04T00:00:00"/>
        <d v="2025-12-05T00:00:00"/>
        <d v="2025-12-07T00:00:00"/>
        <d v="2025-12-08T00:00:00"/>
        <d v="2025-12-09T00:00:00"/>
        <d v="2025-12-12T00:00:00"/>
        <d v="2025-12-13T00:00:00"/>
        <d v="2025-12-15T00:00:00"/>
        <d v="2025-12-16T00:00:00"/>
        <d v="2025-12-18T00:00:00"/>
        <d v="2025-12-19T00:00:00"/>
        <d v="2025-12-21T00:00:00"/>
        <d v="2025-12-22T00:00:00"/>
        <d v="2025-12-25T00:00:00"/>
        <d v="2025-12-26T00:00:00"/>
        <d v="2025-12-27T00:00:00"/>
        <d v="2025-12-28T00:00:00"/>
        <d v="2025-12-31T00:00:00"/>
      </sharedItems>
      <fieldGroup par="11"/>
    </cacheField>
    <cacheField name="Customer" numFmtId="0">
      <sharedItems/>
    </cacheField>
    <cacheField name="Product" numFmtId="0">
      <sharedItems count="10">
        <s v="Backpack"/>
        <s v="Headphones"/>
        <s v="Laptop"/>
        <s v="Pen Set"/>
        <s v="Monitor"/>
        <s v="Notebook"/>
        <s v="Office Chair"/>
        <s v="Desk"/>
        <s v="Keyboard"/>
        <s v="Mouse"/>
      </sharedItems>
    </cacheField>
    <cacheField name="Category" numFmtId="0">
      <sharedItems count="4">
        <s v="Accessories"/>
        <s v="Electronics"/>
        <s v="Stationery"/>
        <s v="Furniture"/>
      </sharedItems>
    </cacheField>
    <cacheField name="Region" numFmtId="0">
      <sharedItems count="4">
        <s v="North"/>
        <s v="East"/>
        <s v="South"/>
        <s v="West"/>
      </sharedItems>
    </cacheField>
    <cacheField name="Quantity" numFmtId="2">
      <sharedItems containsSemiMixedTypes="0" containsString="0" containsNumber="1" containsInteger="1" minValue="1" maxValue="8"/>
    </cacheField>
    <cacheField name="Discount" numFmtId="10">
      <sharedItems containsSemiMixedTypes="0" containsString="0" containsNumber="1" minValue="0" maxValue="0.15"/>
    </cacheField>
    <cacheField name="Sales" numFmtId="2">
      <sharedItems containsSemiMixedTypes="0" containsString="0" containsNumber="1" minValue="7.6" maxValue="5200"/>
    </cacheField>
    <cacheField name="Profit" numFmtId="2">
      <sharedItems containsSemiMixedTypes="0" containsString="0" containsNumber="1" minValue="2.2799999999999998" maxValue="832"/>
    </cacheField>
    <cacheField name="Months (Order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 name="Years (Order Date)" numFmtId="0" databaseField="0">
      <fieldGroup base="1">
        <rangePr groupBy="years" startDate="2025-01-01T00:00:00" endDate="2026-01-01T00:00:00"/>
        <groupItems count="4">
          <s v="&lt;1/1/2025"/>
          <s v="2025"/>
          <s v="2026"/>
          <s v="&gt;1/1/2026"/>
        </groupItems>
      </fieldGroup>
    </cacheField>
  </cacheFields>
  <extLst>
    <ext xmlns:x14="http://schemas.microsoft.com/office/spreadsheetml/2009/9/main" uri="{725AE2AE-9491-48be-B2B4-4EB974FC3084}">
      <x14:pivotCacheDefinition pivotCacheId="541786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337"/>
    <x v="0"/>
    <s v="Customer 064"/>
    <x v="0"/>
    <x v="0"/>
    <x v="0"/>
    <n v="3"/>
    <n v="0"/>
    <n v="165"/>
    <n v="36.299999999999997"/>
  </r>
  <r>
    <s v="ORD0110"/>
    <x v="0"/>
    <s v="Customer 077"/>
    <x v="1"/>
    <x v="1"/>
    <x v="1"/>
    <n v="7"/>
    <n v="0"/>
    <n v="595"/>
    <n v="113.05"/>
  </r>
  <r>
    <s v="ORD0012"/>
    <x v="1"/>
    <s v="Customer 006"/>
    <x v="0"/>
    <x v="0"/>
    <x v="2"/>
    <n v="4"/>
    <n v="0"/>
    <n v="220"/>
    <n v="48.4"/>
  </r>
  <r>
    <s v="ORD0266"/>
    <x v="2"/>
    <s v="Customer 099"/>
    <x v="2"/>
    <x v="1"/>
    <x v="3"/>
    <n v="8"/>
    <n v="0"/>
    <n v="5200"/>
    <n v="832"/>
  </r>
  <r>
    <s v="ORD0085"/>
    <x v="3"/>
    <s v="Customer 024"/>
    <x v="0"/>
    <x v="0"/>
    <x v="3"/>
    <n v="5"/>
    <n v="0.1"/>
    <n v="247.5"/>
    <n v="54.45"/>
  </r>
  <r>
    <s v="ORD0396"/>
    <x v="4"/>
    <s v="Customer 065"/>
    <x v="0"/>
    <x v="0"/>
    <x v="3"/>
    <n v="6"/>
    <n v="0.1"/>
    <n v="297"/>
    <n v="65.34"/>
  </r>
  <r>
    <s v="ORD0215"/>
    <x v="5"/>
    <s v="Customer 007"/>
    <x v="3"/>
    <x v="2"/>
    <x v="2"/>
    <n v="8"/>
    <n v="0.05"/>
    <n v="91.2"/>
    <n v="25.54"/>
  </r>
  <r>
    <s v="ORD0150"/>
    <x v="5"/>
    <s v="Customer 023"/>
    <x v="0"/>
    <x v="0"/>
    <x v="1"/>
    <n v="3"/>
    <n v="0"/>
    <n v="165"/>
    <n v="36.299999999999997"/>
  </r>
  <r>
    <s v="ORD0347"/>
    <x v="6"/>
    <s v="Customer 085"/>
    <x v="4"/>
    <x v="1"/>
    <x v="2"/>
    <n v="2"/>
    <n v="0"/>
    <n v="440"/>
    <n v="61.6"/>
  </r>
  <r>
    <s v="ORD0141"/>
    <x v="6"/>
    <s v="Customer 004"/>
    <x v="5"/>
    <x v="2"/>
    <x v="3"/>
    <n v="8"/>
    <n v="0"/>
    <n v="64"/>
    <n v="19.2"/>
  </r>
  <r>
    <s v="ORD0302"/>
    <x v="7"/>
    <s v="Customer 048"/>
    <x v="6"/>
    <x v="3"/>
    <x v="2"/>
    <n v="4"/>
    <n v="0"/>
    <n v="720"/>
    <n v="129.6"/>
  </r>
  <r>
    <s v="ORD0442"/>
    <x v="8"/>
    <s v="Customer 017"/>
    <x v="4"/>
    <x v="1"/>
    <x v="1"/>
    <n v="3"/>
    <n v="0.1"/>
    <n v="594"/>
    <n v="83.16"/>
  </r>
  <r>
    <s v="ORD0455"/>
    <x v="8"/>
    <s v="Customer 046"/>
    <x v="4"/>
    <x v="1"/>
    <x v="0"/>
    <n v="3"/>
    <n v="0.05"/>
    <n v="627"/>
    <n v="87.78"/>
  </r>
  <r>
    <s v="ORD0187"/>
    <x v="9"/>
    <s v="Customer 074"/>
    <x v="7"/>
    <x v="3"/>
    <x v="2"/>
    <n v="4"/>
    <n v="0"/>
    <n v="1040"/>
    <n v="156"/>
  </r>
  <r>
    <s v="ORD0305"/>
    <x v="9"/>
    <s v="Customer 089"/>
    <x v="5"/>
    <x v="2"/>
    <x v="0"/>
    <n v="8"/>
    <n v="0.1"/>
    <n v="57.6"/>
    <n v="17.28"/>
  </r>
  <r>
    <s v="ORD0394"/>
    <x v="10"/>
    <s v="Customer 016"/>
    <x v="3"/>
    <x v="2"/>
    <x v="0"/>
    <n v="8"/>
    <n v="0.05"/>
    <n v="91.2"/>
    <n v="25.54"/>
  </r>
  <r>
    <s v="ORD0239"/>
    <x v="10"/>
    <s v="Customer 044"/>
    <x v="5"/>
    <x v="2"/>
    <x v="1"/>
    <n v="2"/>
    <n v="0.1"/>
    <n v="14.4"/>
    <n v="4.32"/>
  </r>
  <r>
    <s v="ORD0116"/>
    <x v="10"/>
    <s v="Customer 096"/>
    <x v="1"/>
    <x v="1"/>
    <x v="2"/>
    <n v="3"/>
    <n v="0"/>
    <n v="255"/>
    <n v="48.45"/>
  </r>
  <r>
    <s v="ORD0330"/>
    <x v="11"/>
    <s v="Customer 002"/>
    <x v="3"/>
    <x v="2"/>
    <x v="2"/>
    <n v="2"/>
    <n v="0"/>
    <n v="24"/>
    <n v="6.72"/>
  </r>
  <r>
    <s v="ORD0222"/>
    <x v="11"/>
    <s v="Customer 040"/>
    <x v="8"/>
    <x v="1"/>
    <x v="0"/>
    <n v="1"/>
    <n v="0.05"/>
    <n v="42.75"/>
    <n v="8.5500000000000007"/>
  </r>
  <r>
    <s v="ORD0017"/>
    <x v="12"/>
    <s v="Customer 065"/>
    <x v="1"/>
    <x v="1"/>
    <x v="0"/>
    <n v="5"/>
    <n v="0"/>
    <n v="425"/>
    <n v="80.75"/>
  </r>
  <r>
    <s v="ORD0058"/>
    <x v="13"/>
    <s v="Customer 092"/>
    <x v="2"/>
    <x v="1"/>
    <x v="3"/>
    <n v="8"/>
    <n v="0"/>
    <n v="5200"/>
    <n v="832"/>
  </r>
  <r>
    <s v="ORD0226"/>
    <x v="13"/>
    <s v="Customer 025"/>
    <x v="5"/>
    <x v="2"/>
    <x v="0"/>
    <n v="2"/>
    <n v="0"/>
    <n v="16"/>
    <n v="4.8"/>
  </r>
  <r>
    <s v="ORD0240"/>
    <x v="13"/>
    <s v="Customer 057"/>
    <x v="2"/>
    <x v="1"/>
    <x v="2"/>
    <n v="5"/>
    <n v="0"/>
    <n v="3250"/>
    <n v="520"/>
  </r>
  <r>
    <s v="ORD0062"/>
    <x v="14"/>
    <s v="Customer 095"/>
    <x v="8"/>
    <x v="1"/>
    <x v="0"/>
    <n v="8"/>
    <n v="0.1"/>
    <n v="324"/>
    <n v="64.8"/>
  </r>
  <r>
    <s v="ORD0108"/>
    <x v="15"/>
    <s v="Customer 067"/>
    <x v="9"/>
    <x v="1"/>
    <x v="1"/>
    <n v="2"/>
    <n v="0"/>
    <n v="50"/>
    <n v="11.5"/>
  </r>
  <r>
    <s v="ORD0458"/>
    <x v="16"/>
    <s v="Customer 016"/>
    <x v="1"/>
    <x v="1"/>
    <x v="1"/>
    <n v="2"/>
    <n v="0"/>
    <n v="170"/>
    <n v="32.299999999999997"/>
  </r>
  <r>
    <s v="ORD0427"/>
    <x v="17"/>
    <s v="Customer 013"/>
    <x v="5"/>
    <x v="2"/>
    <x v="2"/>
    <n v="2"/>
    <n v="0"/>
    <n v="16"/>
    <n v="4.8"/>
  </r>
  <r>
    <s v="ORD0055"/>
    <x v="18"/>
    <s v="Customer 030"/>
    <x v="8"/>
    <x v="1"/>
    <x v="2"/>
    <n v="6"/>
    <n v="0.15"/>
    <n v="229.5"/>
    <n v="45.9"/>
  </r>
  <r>
    <s v="ORD0493"/>
    <x v="18"/>
    <s v="Customer 057"/>
    <x v="7"/>
    <x v="3"/>
    <x v="3"/>
    <n v="2"/>
    <n v="0.05"/>
    <n v="494"/>
    <n v="74.099999999999994"/>
  </r>
  <r>
    <s v="ORD0177"/>
    <x v="19"/>
    <s v="Customer 015"/>
    <x v="5"/>
    <x v="2"/>
    <x v="1"/>
    <n v="1"/>
    <n v="0.05"/>
    <n v="7.6"/>
    <n v="2.2799999999999998"/>
  </r>
  <r>
    <s v="ORD0188"/>
    <x v="19"/>
    <s v="Customer 090"/>
    <x v="5"/>
    <x v="2"/>
    <x v="1"/>
    <n v="8"/>
    <n v="0.1"/>
    <n v="57.6"/>
    <n v="17.28"/>
  </r>
  <r>
    <s v="ORD0324"/>
    <x v="20"/>
    <s v="Customer 037"/>
    <x v="9"/>
    <x v="1"/>
    <x v="3"/>
    <n v="5"/>
    <n v="0"/>
    <n v="125"/>
    <n v="28.75"/>
  </r>
  <r>
    <s v="ORD0460"/>
    <x v="20"/>
    <s v="Customer 099"/>
    <x v="6"/>
    <x v="3"/>
    <x v="2"/>
    <n v="4"/>
    <n v="0"/>
    <n v="720"/>
    <n v="129.6"/>
  </r>
  <r>
    <s v="ORD0409"/>
    <x v="21"/>
    <s v="Customer 098"/>
    <x v="1"/>
    <x v="1"/>
    <x v="0"/>
    <n v="6"/>
    <n v="0"/>
    <n v="510"/>
    <n v="96.9"/>
  </r>
  <r>
    <s v="ORD0410"/>
    <x v="21"/>
    <s v="Customer 068"/>
    <x v="4"/>
    <x v="1"/>
    <x v="1"/>
    <n v="4"/>
    <n v="0"/>
    <n v="880"/>
    <n v="123.2"/>
  </r>
  <r>
    <s v="ORD0318"/>
    <x v="21"/>
    <s v="Customer 019"/>
    <x v="3"/>
    <x v="2"/>
    <x v="0"/>
    <n v="4"/>
    <n v="0.15"/>
    <n v="40.799999999999997"/>
    <n v="11.42"/>
  </r>
  <r>
    <s v="ORD0066"/>
    <x v="22"/>
    <s v="Customer 050"/>
    <x v="9"/>
    <x v="1"/>
    <x v="1"/>
    <n v="7"/>
    <n v="0.1"/>
    <n v="157.5"/>
    <n v="36.22"/>
  </r>
  <r>
    <s v="ORD0388"/>
    <x v="23"/>
    <s v="Customer 021"/>
    <x v="7"/>
    <x v="3"/>
    <x v="3"/>
    <n v="4"/>
    <n v="0"/>
    <n v="1040"/>
    <n v="156"/>
  </r>
  <r>
    <s v="ORD0333"/>
    <x v="24"/>
    <s v="Customer 035"/>
    <x v="1"/>
    <x v="1"/>
    <x v="2"/>
    <n v="1"/>
    <n v="0.05"/>
    <n v="80.75"/>
    <n v="15.34"/>
  </r>
  <r>
    <s v="ORD0152"/>
    <x v="24"/>
    <s v="Customer 039"/>
    <x v="3"/>
    <x v="2"/>
    <x v="2"/>
    <n v="5"/>
    <n v="0"/>
    <n v="60"/>
    <n v="16.8"/>
  </r>
  <r>
    <s v="ORD0224"/>
    <x v="25"/>
    <s v="Customer 098"/>
    <x v="6"/>
    <x v="3"/>
    <x v="0"/>
    <n v="2"/>
    <n v="0"/>
    <n v="360"/>
    <n v="64.8"/>
  </r>
  <r>
    <s v="ORD0449"/>
    <x v="25"/>
    <s v="Customer 079"/>
    <x v="4"/>
    <x v="1"/>
    <x v="0"/>
    <n v="2"/>
    <n v="0"/>
    <n v="440"/>
    <n v="61.6"/>
  </r>
  <r>
    <s v="ORD0452"/>
    <x v="26"/>
    <s v="Customer 025"/>
    <x v="8"/>
    <x v="1"/>
    <x v="1"/>
    <n v="7"/>
    <n v="0.05"/>
    <n v="299.25"/>
    <n v="59.85"/>
  </r>
  <r>
    <s v="ORD0496"/>
    <x v="27"/>
    <s v="Customer 021"/>
    <x v="2"/>
    <x v="1"/>
    <x v="1"/>
    <n v="8"/>
    <n v="0"/>
    <n v="5200"/>
    <n v="832"/>
  </r>
  <r>
    <s v="ORD0087"/>
    <x v="28"/>
    <s v="Customer 061"/>
    <x v="4"/>
    <x v="1"/>
    <x v="0"/>
    <n v="3"/>
    <n v="0"/>
    <n v="660"/>
    <n v="92.4"/>
  </r>
  <r>
    <s v="ORD0145"/>
    <x v="29"/>
    <s v="Customer 078"/>
    <x v="9"/>
    <x v="1"/>
    <x v="0"/>
    <n v="6"/>
    <n v="0"/>
    <n v="150"/>
    <n v="34.5"/>
  </r>
  <r>
    <s v="ORD0011"/>
    <x v="30"/>
    <s v="Customer 081"/>
    <x v="0"/>
    <x v="0"/>
    <x v="2"/>
    <n v="7"/>
    <n v="0"/>
    <n v="385"/>
    <n v="84.7"/>
  </r>
  <r>
    <s v="ORD0322"/>
    <x v="30"/>
    <s v="Customer 093"/>
    <x v="9"/>
    <x v="1"/>
    <x v="0"/>
    <n v="3"/>
    <n v="0"/>
    <n v="75"/>
    <n v="17.25"/>
  </r>
  <r>
    <s v="ORD0161"/>
    <x v="31"/>
    <s v="Customer 095"/>
    <x v="0"/>
    <x v="0"/>
    <x v="3"/>
    <n v="5"/>
    <n v="0.1"/>
    <n v="247.5"/>
    <n v="54.45"/>
  </r>
  <r>
    <s v="ORD0253"/>
    <x v="32"/>
    <s v="Customer 029"/>
    <x v="8"/>
    <x v="1"/>
    <x v="2"/>
    <n v="3"/>
    <n v="0.05"/>
    <n v="128.25"/>
    <n v="25.65"/>
  </r>
  <r>
    <s v="ORD0273"/>
    <x v="33"/>
    <s v="Customer 096"/>
    <x v="2"/>
    <x v="1"/>
    <x v="0"/>
    <n v="2"/>
    <n v="0"/>
    <n v="1300"/>
    <n v="208"/>
  </r>
  <r>
    <s v="ORD0331"/>
    <x v="34"/>
    <s v="Customer 060"/>
    <x v="7"/>
    <x v="3"/>
    <x v="2"/>
    <n v="6"/>
    <n v="0"/>
    <n v="1560"/>
    <n v="234"/>
  </r>
  <r>
    <s v="ORD0020"/>
    <x v="34"/>
    <s v="Customer 007"/>
    <x v="9"/>
    <x v="1"/>
    <x v="3"/>
    <n v="7"/>
    <n v="0.1"/>
    <n v="157.5"/>
    <n v="36.22"/>
  </r>
  <r>
    <s v="ORD0383"/>
    <x v="35"/>
    <s v="Customer 039"/>
    <x v="4"/>
    <x v="1"/>
    <x v="2"/>
    <n v="3"/>
    <n v="0.05"/>
    <n v="627"/>
    <n v="87.78"/>
  </r>
  <r>
    <s v="ORD0491"/>
    <x v="36"/>
    <s v="Customer 039"/>
    <x v="4"/>
    <x v="1"/>
    <x v="0"/>
    <n v="4"/>
    <n v="0.05"/>
    <n v="836"/>
    <n v="117.04"/>
  </r>
  <r>
    <s v="ORD0339"/>
    <x v="37"/>
    <s v="Customer 028"/>
    <x v="2"/>
    <x v="1"/>
    <x v="3"/>
    <n v="8"/>
    <n v="0.1"/>
    <n v="4680"/>
    <n v="748.8"/>
  </r>
  <r>
    <s v="ORD0307"/>
    <x v="38"/>
    <s v="Customer 079"/>
    <x v="2"/>
    <x v="1"/>
    <x v="3"/>
    <n v="4"/>
    <n v="0"/>
    <n v="2600"/>
    <n v="416"/>
  </r>
  <r>
    <s v="ORD0114"/>
    <x v="39"/>
    <s v="Customer 049"/>
    <x v="6"/>
    <x v="3"/>
    <x v="0"/>
    <n v="1"/>
    <n v="0.05"/>
    <n v="171"/>
    <n v="30.78"/>
  </r>
  <r>
    <s v="ORD0021"/>
    <x v="40"/>
    <s v="Customer 023"/>
    <x v="4"/>
    <x v="1"/>
    <x v="1"/>
    <n v="1"/>
    <n v="0.05"/>
    <n v="209"/>
    <n v="29.26"/>
  </r>
  <r>
    <s v="ORD0439"/>
    <x v="41"/>
    <s v="Customer 068"/>
    <x v="4"/>
    <x v="1"/>
    <x v="3"/>
    <n v="3"/>
    <n v="0.05"/>
    <n v="627"/>
    <n v="87.78"/>
  </r>
  <r>
    <s v="ORD0212"/>
    <x v="42"/>
    <s v="Customer 092"/>
    <x v="7"/>
    <x v="3"/>
    <x v="0"/>
    <n v="3"/>
    <n v="0"/>
    <n v="780"/>
    <n v="117"/>
  </r>
  <r>
    <s v="ORD0137"/>
    <x v="42"/>
    <s v="Customer 005"/>
    <x v="3"/>
    <x v="2"/>
    <x v="0"/>
    <n v="2"/>
    <n v="0.05"/>
    <n v="22.8"/>
    <n v="6.38"/>
  </r>
  <r>
    <s v="ORD0192"/>
    <x v="42"/>
    <s v="Customer 078"/>
    <x v="1"/>
    <x v="1"/>
    <x v="0"/>
    <n v="6"/>
    <n v="0.1"/>
    <n v="459"/>
    <n v="87.21"/>
  </r>
  <r>
    <s v="ORD0368"/>
    <x v="43"/>
    <s v="Customer 027"/>
    <x v="4"/>
    <x v="1"/>
    <x v="2"/>
    <n v="6"/>
    <n v="0.1"/>
    <n v="1188"/>
    <n v="166.32"/>
  </r>
  <r>
    <s v="ORD0139"/>
    <x v="44"/>
    <s v="Customer 077"/>
    <x v="4"/>
    <x v="1"/>
    <x v="2"/>
    <n v="6"/>
    <n v="0"/>
    <n v="1320"/>
    <n v="184.8"/>
  </r>
  <r>
    <s v="ORD0016"/>
    <x v="44"/>
    <s v="Customer 026"/>
    <x v="4"/>
    <x v="1"/>
    <x v="3"/>
    <n v="7"/>
    <n v="0.15"/>
    <n v="1309"/>
    <n v="183.26"/>
  </r>
  <r>
    <s v="ORD0100"/>
    <x v="44"/>
    <s v="Customer 016"/>
    <x v="1"/>
    <x v="1"/>
    <x v="1"/>
    <n v="4"/>
    <n v="0.05"/>
    <n v="323"/>
    <n v="61.37"/>
  </r>
  <r>
    <s v="ORD0115"/>
    <x v="45"/>
    <s v="Customer 003"/>
    <x v="2"/>
    <x v="1"/>
    <x v="2"/>
    <n v="5"/>
    <n v="0.1"/>
    <n v="2925"/>
    <n v="468"/>
  </r>
  <r>
    <s v="ORD0264"/>
    <x v="45"/>
    <s v="Customer 087"/>
    <x v="7"/>
    <x v="3"/>
    <x v="1"/>
    <n v="5"/>
    <n v="0.1"/>
    <n v="1170"/>
    <n v="175.5"/>
  </r>
  <r>
    <s v="ORD0132"/>
    <x v="45"/>
    <s v="Customer 005"/>
    <x v="4"/>
    <x v="1"/>
    <x v="3"/>
    <n v="4"/>
    <n v="0"/>
    <n v="880"/>
    <n v="123.2"/>
  </r>
  <r>
    <s v="ORD0007"/>
    <x v="46"/>
    <s v="Customer 064"/>
    <x v="8"/>
    <x v="1"/>
    <x v="3"/>
    <n v="4"/>
    <n v="0"/>
    <n v="180"/>
    <n v="36"/>
  </r>
  <r>
    <s v="ORD0208"/>
    <x v="46"/>
    <s v="Customer 003"/>
    <x v="2"/>
    <x v="1"/>
    <x v="1"/>
    <n v="8"/>
    <n v="0"/>
    <n v="5200"/>
    <n v="832"/>
  </r>
  <r>
    <s v="ORD0414"/>
    <x v="47"/>
    <s v="Customer 073"/>
    <x v="4"/>
    <x v="1"/>
    <x v="1"/>
    <n v="5"/>
    <n v="0"/>
    <n v="1100"/>
    <n v="154"/>
  </r>
  <r>
    <s v="ORD0462"/>
    <x v="48"/>
    <s v="Customer 020"/>
    <x v="6"/>
    <x v="3"/>
    <x v="0"/>
    <n v="4"/>
    <n v="0"/>
    <n v="720"/>
    <n v="129.6"/>
  </r>
  <r>
    <s v="ORD0495"/>
    <x v="49"/>
    <s v="Customer 099"/>
    <x v="0"/>
    <x v="0"/>
    <x v="2"/>
    <n v="6"/>
    <n v="0"/>
    <n v="330"/>
    <n v="72.599999999999994"/>
  </r>
  <r>
    <s v="ORD0276"/>
    <x v="49"/>
    <s v="Customer 041"/>
    <x v="2"/>
    <x v="1"/>
    <x v="3"/>
    <n v="3"/>
    <n v="0"/>
    <n v="1950"/>
    <n v="312"/>
  </r>
  <r>
    <s v="ORD0378"/>
    <x v="50"/>
    <s v="Customer 074"/>
    <x v="8"/>
    <x v="1"/>
    <x v="1"/>
    <n v="4"/>
    <n v="0.1"/>
    <n v="162"/>
    <n v="32.4"/>
  </r>
  <r>
    <s v="ORD0259"/>
    <x v="51"/>
    <s v="Customer 043"/>
    <x v="9"/>
    <x v="1"/>
    <x v="0"/>
    <n v="5"/>
    <n v="0.05"/>
    <n v="118.75"/>
    <n v="27.31"/>
  </r>
  <r>
    <s v="ORD0163"/>
    <x v="52"/>
    <s v="Customer 066"/>
    <x v="2"/>
    <x v="1"/>
    <x v="0"/>
    <n v="6"/>
    <n v="0.05"/>
    <n v="3705"/>
    <n v="592.79999999999995"/>
  </r>
  <r>
    <s v="ORD0262"/>
    <x v="53"/>
    <s v="Customer 074"/>
    <x v="6"/>
    <x v="3"/>
    <x v="2"/>
    <n v="5"/>
    <n v="0"/>
    <n v="900"/>
    <n v="162"/>
  </r>
  <r>
    <s v="ORD0070"/>
    <x v="53"/>
    <s v="Customer 022"/>
    <x v="1"/>
    <x v="1"/>
    <x v="2"/>
    <n v="2"/>
    <n v="0.05"/>
    <n v="161.5"/>
    <n v="30.68"/>
  </r>
  <r>
    <s v="ORD0124"/>
    <x v="53"/>
    <s v="Customer 086"/>
    <x v="7"/>
    <x v="3"/>
    <x v="0"/>
    <n v="2"/>
    <n v="0.1"/>
    <n v="468"/>
    <n v="70.2"/>
  </r>
  <r>
    <s v="ORD0230"/>
    <x v="54"/>
    <s v="Customer 054"/>
    <x v="9"/>
    <x v="1"/>
    <x v="2"/>
    <n v="6"/>
    <n v="0.05"/>
    <n v="142.5"/>
    <n v="32.78"/>
  </r>
  <r>
    <s v="ORD0123"/>
    <x v="55"/>
    <s v="Customer 096"/>
    <x v="2"/>
    <x v="1"/>
    <x v="2"/>
    <n v="6"/>
    <n v="0.15"/>
    <n v="3315"/>
    <n v="530.4"/>
  </r>
  <r>
    <s v="ORD0422"/>
    <x v="55"/>
    <s v="Customer 085"/>
    <x v="9"/>
    <x v="1"/>
    <x v="0"/>
    <n v="8"/>
    <n v="0.1"/>
    <n v="180"/>
    <n v="41.4"/>
  </r>
  <r>
    <s v="ORD0499"/>
    <x v="56"/>
    <s v="Customer 003"/>
    <x v="9"/>
    <x v="1"/>
    <x v="0"/>
    <n v="1"/>
    <n v="0.1"/>
    <n v="22.5"/>
    <n v="5.18"/>
  </r>
  <r>
    <s v="ORD0134"/>
    <x v="56"/>
    <s v="Customer 051"/>
    <x v="7"/>
    <x v="3"/>
    <x v="1"/>
    <n v="5"/>
    <n v="0.1"/>
    <n v="1170"/>
    <n v="175.5"/>
  </r>
  <r>
    <s v="ORD0389"/>
    <x v="57"/>
    <s v="Customer 044"/>
    <x v="0"/>
    <x v="0"/>
    <x v="2"/>
    <n v="2"/>
    <n v="0"/>
    <n v="110"/>
    <n v="24.2"/>
  </r>
  <r>
    <s v="ORD0179"/>
    <x v="57"/>
    <s v="Customer 051"/>
    <x v="5"/>
    <x v="2"/>
    <x v="1"/>
    <n v="6"/>
    <n v="0"/>
    <n v="48"/>
    <n v="14.4"/>
  </r>
  <r>
    <s v="ORD0053"/>
    <x v="58"/>
    <s v="Customer 014"/>
    <x v="6"/>
    <x v="3"/>
    <x v="0"/>
    <n v="1"/>
    <n v="0"/>
    <n v="180"/>
    <n v="32.4"/>
  </r>
  <r>
    <s v="ORD0154"/>
    <x v="58"/>
    <s v="Customer 067"/>
    <x v="6"/>
    <x v="3"/>
    <x v="2"/>
    <n v="1"/>
    <n v="0.05"/>
    <n v="171"/>
    <n v="30.78"/>
  </r>
  <r>
    <s v="ORD0475"/>
    <x v="59"/>
    <s v="Customer 064"/>
    <x v="9"/>
    <x v="1"/>
    <x v="0"/>
    <n v="3"/>
    <n v="0"/>
    <n v="75"/>
    <n v="17.25"/>
  </r>
  <r>
    <s v="ORD0079"/>
    <x v="59"/>
    <s v="Customer 093"/>
    <x v="3"/>
    <x v="2"/>
    <x v="2"/>
    <n v="8"/>
    <n v="0"/>
    <n v="96"/>
    <n v="26.88"/>
  </r>
  <r>
    <s v="ORD0354"/>
    <x v="60"/>
    <s v="Customer 041"/>
    <x v="5"/>
    <x v="2"/>
    <x v="0"/>
    <n v="7"/>
    <n v="0.15"/>
    <n v="47.6"/>
    <n v="14.28"/>
  </r>
  <r>
    <s v="ORD0386"/>
    <x v="60"/>
    <s v="Customer 097"/>
    <x v="2"/>
    <x v="1"/>
    <x v="3"/>
    <n v="4"/>
    <n v="0"/>
    <n v="2600"/>
    <n v="416"/>
  </r>
  <r>
    <s v="ORD0476"/>
    <x v="61"/>
    <s v="Customer 005"/>
    <x v="2"/>
    <x v="1"/>
    <x v="3"/>
    <n v="5"/>
    <n v="0.05"/>
    <n v="3087.5"/>
    <n v="494"/>
  </r>
  <r>
    <s v="ORD0162"/>
    <x v="62"/>
    <s v="Customer 079"/>
    <x v="6"/>
    <x v="3"/>
    <x v="3"/>
    <n v="4"/>
    <n v="0.1"/>
    <n v="648"/>
    <n v="116.64"/>
  </r>
  <r>
    <s v="ORD0098"/>
    <x v="63"/>
    <s v="Customer 071"/>
    <x v="1"/>
    <x v="1"/>
    <x v="0"/>
    <n v="3"/>
    <n v="0.15"/>
    <n v="216.75"/>
    <n v="41.18"/>
  </r>
  <r>
    <s v="ORD0355"/>
    <x v="64"/>
    <s v="Customer 075"/>
    <x v="1"/>
    <x v="1"/>
    <x v="1"/>
    <n v="5"/>
    <n v="0.1"/>
    <n v="382.5"/>
    <n v="72.680000000000007"/>
  </r>
  <r>
    <s v="ORD0370"/>
    <x v="64"/>
    <s v="Customer 090"/>
    <x v="4"/>
    <x v="1"/>
    <x v="3"/>
    <n v="1"/>
    <n v="0"/>
    <n v="220"/>
    <n v="30.8"/>
  </r>
  <r>
    <s v="ORD0471"/>
    <x v="65"/>
    <s v="Customer 075"/>
    <x v="5"/>
    <x v="2"/>
    <x v="3"/>
    <n v="7"/>
    <n v="0.05"/>
    <n v="53.2"/>
    <n v="15.96"/>
  </r>
  <r>
    <s v="ORD0149"/>
    <x v="65"/>
    <s v="Customer 002"/>
    <x v="9"/>
    <x v="1"/>
    <x v="3"/>
    <n v="4"/>
    <n v="0.05"/>
    <n v="95"/>
    <n v="21.85"/>
  </r>
  <r>
    <s v="ORD0290"/>
    <x v="66"/>
    <s v="Customer 051"/>
    <x v="2"/>
    <x v="1"/>
    <x v="3"/>
    <n v="6"/>
    <n v="0"/>
    <n v="3900"/>
    <n v="624"/>
  </r>
  <r>
    <s v="ORD0416"/>
    <x v="67"/>
    <s v="Customer 097"/>
    <x v="8"/>
    <x v="1"/>
    <x v="3"/>
    <n v="7"/>
    <n v="0"/>
    <n v="315"/>
    <n v="63"/>
  </r>
  <r>
    <s v="ORD0036"/>
    <x v="68"/>
    <s v="Customer 002"/>
    <x v="2"/>
    <x v="1"/>
    <x v="1"/>
    <n v="8"/>
    <n v="0"/>
    <n v="5200"/>
    <n v="832"/>
  </r>
  <r>
    <s v="ORD0246"/>
    <x v="69"/>
    <s v="Customer 094"/>
    <x v="3"/>
    <x v="2"/>
    <x v="1"/>
    <n v="5"/>
    <n v="0"/>
    <n v="60"/>
    <n v="16.8"/>
  </r>
  <r>
    <s v="ORD0121"/>
    <x v="69"/>
    <s v="Customer 069"/>
    <x v="8"/>
    <x v="1"/>
    <x v="1"/>
    <n v="5"/>
    <n v="0.05"/>
    <n v="213.75"/>
    <n v="42.75"/>
  </r>
  <r>
    <s v="ORD0487"/>
    <x v="69"/>
    <s v="Customer 003"/>
    <x v="9"/>
    <x v="1"/>
    <x v="0"/>
    <n v="5"/>
    <n v="0.05"/>
    <n v="118.75"/>
    <n v="27.31"/>
  </r>
  <r>
    <s v="ORD0403"/>
    <x v="69"/>
    <s v="Customer 035"/>
    <x v="9"/>
    <x v="1"/>
    <x v="0"/>
    <n v="6"/>
    <n v="0.05"/>
    <n v="142.5"/>
    <n v="32.78"/>
  </r>
  <r>
    <s v="ORD0320"/>
    <x v="69"/>
    <s v="Customer 018"/>
    <x v="8"/>
    <x v="1"/>
    <x v="2"/>
    <n v="4"/>
    <n v="0.05"/>
    <n v="171"/>
    <n v="34.200000000000003"/>
  </r>
  <r>
    <s v="ORD0128"/>
    <x v="70"/>
    <s v="Customer 085"/>
    <x v="7"/>
    <x v="3"/>
    <x v="0"/>
    <n v="2"/>
    <n v="0"/>
    <n v="520"/>
    <n v="78"/>
  </r>
  <r>
    <s v="ORD0479"/>
    <x v="71"/>
    <s v="Customer 089"/>
    <x v="1"/>
    <x v="1"/>
    <x v="3"/>
    <n v="7"/>
    <n v="0.15"/>
    <n v="505.75"/>
    <n v="96.09"/>
  </r>
  <r>
    <s v="ORD0295"/>
    <x v="71"/>
    <s v="Customer 019"/>
    <x v="7"/>
    <x v="3"/>
    <x v="2"/>
    <n v="3"/>
    <n v="0"/>
    <n v="780"/>
    <n v="117"/>
  </r>
  <r>
    <s v="ORD0332"/>
    <x v="71"/>
    <s v="Customer 070"/>
    <x v="0"/>
    <x v="0"/>
    <x v="2"/>
    <n v="7"/>
    <n v="0.05"/>
    <n v="365.75"/>
    <n v="80.459999999999994"/>
  </r>
  <r>
    <s v="ORD0373"/>
    <x v="71"/>
    <s v="Customer 007"/>
    <x v="0"/>
    <x v="0"/>
    <x v="3"/>
    <n v="4"/>
    <n v="0.1"/>
    <n v="198"/>
    <n v="43.56"/>
  </r>
  <r>
    <s v="ORD0362"/>
    <x v="72"/>
    <s v="Customer 072"/>
    <x v="1"/>
    <x v="1"/>
    <x v="2"/>
    <n v="3"/>
    <n v="0"/>
    <n v="255"/>
    <n v="48.45"/>
  </r>
  <r>
    <s v="ORD0420"/>
    <x v="73"/>
    <s v="Customer 055"/>
    <x v="7"/>
    <x v="3"/>
    <x v="0"/>
    <n v="5"/>
    <n v="0"/>
    <n v="1300"/>
    <n v="195"/>
  </r>
  <r>
    <s v="ORD0490"/>
    <x v="73"/>
    <s v="Customer 033"/>
    <x v="1"/>
    <x v="1"/>
    <x v="1"/>
    <n v="7"/>
    <n v="0"/>
    <n v="595"/>
    <n v="113.05"/>
  </r>
  <r>
    <s v="ORD0080"/>
    <x v="73"/>
    <s v="Customer 029"/>
    <x v="9"/>
    <x v="1"/>
    <x v="0"/>
    <n v="8"/>
    <n v="0"/>
    <n v="200"/>
    <n v="46"/>
  </r>
  <r>
    <s v="ORD0450"/>
    <x v="74"/>
    <s v="Customer 077"/>
    <x v="4"/>
    <x v="1"/>
    <x v="3"/>
    <n v="7"/>
    <n v="0"/>
    <n v="1540"/>
    <n v="215.6"/>
  </r>
  <r>
    <s v="ORD0078"/>
    <x v="75"/>
    <s v="Customer 001"/>
    <x v="5"/>
    <x v="2"/>
    <x v="3"/>
    <n v="8"/>
    <n v="0.15"/>
    <n v="54.4"/>
    <n v="16.32"/>
  </r>
  <r>
    <s v="ORD0267"/>
    <x v="75"/>
    <s v="Customer 068"/>
    <x v="0"/>
    <x v="0"/>
    <x v="0"/>
    <n v="5"/>
    <n v="0.05"/>
    <n v="261.25"/>
    <n v="57.48"/>
  </r>
  <r>
    <s v="ORD0358"/>
    <x v="75"/>
    <s v="Customer 015"/>
    <x v="5"/>
    <x v="2"/>
    <x v="0"/>
    <n v="7"/>
    <n v="0.05"/>
    <n v="53.2"/>
    <n v="15.96"/>
  </r>
  <r>
    <s v="ORD0090"/>
    <x v="76"/>
    <s v="Customer 034"/>
    <x v="0"/>
    <x v="0"/>
    <x v="2"/>
    <n v="5"/>
    <n v="0"/>
    <n v="275"/>
    <n v="60.5"/>
  </r>
  <r>
    <s v="ORD0457"/>
    <x v="76"/>
    <s v="Customer 054"/>
    <x v="5"/>
    <x v="2"/>
    <x v="2"/>
    <n v="2"/>
    <n v="0.1"/>
    <n v="14.4"/>
    <n v="4.32"/>
  </r>
  <r>
    <s v="ORD0311"/>
    <x v="76"/>
    <s v="Customer 015"/>
    <x v="5"/>
    <x v="2"/>
    <x v="2"/>
    <n v="7"/>
    <n v="0"/>
    <n v="56"/>
    <n v="16.8"/>
  </r>
  <r>
    <s v="ORD0197"/>
    <x v="76"/>
    <s v="Customer 038"/>
    <x v="6"/>
    <x v="3"/>
    <x v="1"/>
    <n v="1"/>
    <n v="0"/>
    <n v="180"/>
    <n v="32.4"/>
  </r>
  <r>
    <s v="ORD0353"/>
    <x v="76"/>
    <s v="Customer 092"/>
    <x v="7"/>
    <x v="3"/>
    <x v="2"/>
    <n v="1"/>
    <n v="0"/>
    <n v="260"/>
    <n v="39"/>
  </r>
  <r>
    <s v="ORD0010"/>
    <x v="77"/>
    <s v="Customer 060"/>
    <x v="4"/>
    <x v="1"/>
    <x v="1"/>
    <n v="4"/>
    <n v="0"/>
    <n v="880"/>
    <n v="123.2"/>
  </r>
  <r>
    <s v="ORD0170"/>
    <x v="78"/>
    <s v="Customer 049"/>
    <x v="0"/>
    <x v="0"/>
    <x v="1"/>
    <n v="6"/>
    <n v="0.1"/>
    <n v="297"/>
    <n v="65.34"/>
  </r>
  <r>
    <s v="ORD0081"/>
    <x v="78"/>
    <s v="Customer 062"/>
    <x v="7"/>
    <x v="3"/>
    <x v="2"/>
    <n v="7"/>
    <n v="0.05"/>
    <n v="1729"/>
    <n v="259.35000000000002"/>
  </r>
  <r>
    <s v="ORD0186"/>
    <x v="79"/>
    <s v="Customer 036"/>
    <x v="4"/>
    <x v="1"/>
    <x v="1"/>
    <n v="3"/>
    <n v="0"/>
    <n v="660"/>
    <n v="92.4"/>
  </r>
  <r>
    <s v="ORD0026"/>
    <x v="80"/>
    <s v="Customer 094"/>
    <x v="6"/>
    <x v="3"/>
    <x v="3"/>
    <n v="5"/>
    <n v="0"/>
    <n v="900"/>
    <n v="162"/>
  </r>
  <r>
    <s v="ORD0094"/>
    <x v="80"/>
    <s v="Customer 023"/>
    <x v="6"/>
    <x v="3"/>
    <x v="3"/>
    <n v="2"/>
    <n v="0.1"/>
    <n v="324"/>
    <n v="58.32"/>
  </r>
  <r>
    <s v="ORD0213"/>
    <x v="80"/>
    <s v="Customer 078"/>
    <x v="4"/>
    <x v="1"/>
    <x v="3"/>
    <n v="3"/>
    <n v="0.05"/>
    <n v="627"/>
    <n v="87.78"/>
  </r>
  <r>
    <s v="ORD0233"/>
    <x v="81"/>
    <s v="Customer 024"/>
    <x v="8"/>
    <x v="1"/>
    <x v="1"/>
    <n v="6"/>
    <n v="0.1"/>
    <n v="243"/>
    <n v="48.6"/>
  </r>
  <r>
    <s v="ORD0125"/>
    <x v="81"/>
    <s v="Customer 099"/>
    <x v="2"/>
    <x v="1"/>
    <x v="0"/>
    <n v="5"/>
    <n v="0"/>
    <n v="3250"/>
    <n v="520"/>
  </r>
  <r>
    <s v="ORD0040"/>
    <x v="81"/>
    <s v="Customer 086"/>
    <x v="0"/>
    <x v="0"/>
    <x v="2"/>
    <n v="5"/>
    <n v="0"/>
    <n v="275"/>
    <n v="60.5"/>
  </r>
  <r>
    <s v="ORD0059"/>
    <x v="82"/>
    <s v="Customer 037"/>
    <x v="7"/>
    <x v="3"/>
    <x v="3"/>
    <n v="6"/>
    <n v="0.1"/>
    <n v="1404"/>
    <n v="210.6"/>
  </r>
  <r>
    <s v="ORD0402"/>
    <x v="83"/>
    <s v="Customer 012"/>
    <x v="5"/>
    <x v="2"/>
    <x v="3"/>
    <n v="4"/>
    <n v="0.1"/>
    <n v="28.8"/>
    <n v="8.64"/>
  </r>
  <r>
    <s v="ORD0023"/>
    <x v="83"/>
    <s v="Customer 078"/>
    <x v="2"/>
    <x v="1"/>
    <x v="1"/>
    <n v="3"/>
    <n v="0.1"/>
    <n v="1755"/>
    <n v="280.8"/>
  </r>
  <r>
    <s v="ORD0432"/>
    <x v="83"/>
    <s v="Customer 077"/>
    <x v="2"/>
    <x v="1"/>
    <x v="3"/>
    <n v="7"/>
    <n v="0"/>
    <n v="4550"/>
    <n v="728"/>
  </r>
  <r>
    <s v="ORD0247"/>
    <x v="84"/>
    <s v="Customer 014"/>
    <x v="8"/>
    <x v="1"/>
    <x v="0"/>
    <n v="2"/>
    <n v="0.05"/>
    <n v="85.5"/>
    <n v="17.100000000000001"/>
  </r>
  <r>
    <s v="ORD0189"/>
    <x v="85"/>
    <s v="Customer 082"/>
    <x v="9"/>
    <x v="1"/>
    <x v="2"/>
    <n v="5"/>
    <n v="0.05"/>
    <n v="118.75"/>
    <n v="27.31"/>
  </r>
  <r>
    <s v="ORD0050"/>
    <x v="85"/>
    <s v="Customer 099"/>
    <x v="2"/>
    <x v="1"/>
    <x v="3"/>
    <n v="8"/>
    <n v="0"/>
    <n v="5200"/>
    <n v="832"/>
  </r>
  <r>
    <s v="ORD0454"/>
    <x v="85"/>
    <s v="Customer 096"/>
    <x v="7"/>
    <x v="3"/>
    <x v="1"/>
    <n v="3"/>
    <n v="0.1"/>
    <n v="702"/>
    <n v="105.3"/>
  </r>
  <r>
    <s v="ORD0268"/>
    <x v="86"/>
    <s v="Customer 067"/>
    <x v="4"/>
    <x v="1"/>
    <x v="3"/>
    <n v="3"/>
    <n v="0"/>
    <n v="660"/>
    <n v="92.4"/>
  </r>
  <r>
    <s v="ORD0482"/>
    <x v="87"/>
    <s v="Customer 077"/>
    <x v="5"/>
    <x v="2"/>
    <x v="0"/>
    <n v="7"/>
    <n v="0"/>
    <n v="56"/>
    <n v="16.8"/>
  </r>
  <r>
    <s v="ORD0480"/>
    <x v="87"/>
    <s v="Customer 086"/>
    <x v="0"/>
    <x v="0"/>
    <x v="2"/>
    <n v="4"/>
    <n v="0"/>
    <n v="220"/>
    <n v="48.4"/>
  </r>
  <r>
    <s v="ORD0473"/>
    <x v="88"/>
    <s v="Customer 094"/>
    <x v="8"/>
    <x v="1"/>
    <x v="0"/>
    <n v="5"/>
    <n v="0.1"/>
    <n v="202.5"/>
    <n v="40.5"/>
  </r>
  <r>
    <s v="ORD0371"/>
    <x v="89"/>
    <s v="Customer 039"/>
    <x v="3"/>
    <x v="2"/>
    <x v="2"/>
    <n v="7"/>
    <n v="0"/>
    <n v="84"/>
    <n v="23.52"/>
  </r>
  <r>
    <s v="ORD0251"/>
    <x v="89"/>
    <s v="Customer 066"/>
    <x v="2"/>
    <x v="1"/>
    <x v="2"/>
    <n v="8"/>
    <n v="0"/>
    <n v="5200"/>
    <n v="832"/>
  </r>
  <r>
    <s v="ORD0433"/>
    <x v="90"/>
    <s v="Customer 024"/>
    <x v="3"/>
    <x v="2"/>
    <x v="1"/>
    <n v="3"/>
    <n v="0"/>
    <n v="36"/>
    <n v="10.08"/>
  </r>
  <r>
    <s v="ORD0180"/>
    <x v="91"/>
    <s v="Customer 033"/>
    <x v="6"/>
    <x v="3"/>
    <x v="0"/>
    <n v="7"/>
    <n v="0"/>
    <n v="1260"/>
    <n v="226.8"/>
  </r>
  <r>
    <s v="ORD0437"/>
    <x v="91"/>
    <s v="Customer 092"/>
    <x v="9"/>
    <x v="1"/>
    <x v="3"/>
    <n v="6"/>
    <n v="0.1"/>
    <n v="135"/>
    <n v="31.05"/>
  </r>
  <r>
    <s v="ORD0315"/>
    <x v="91"/>
    <s v="Customer 007"/>
    <x v="6"/>
    <x v="3"/>
    <x v="1"/>
    <n v="6"/>
    <n v="0.05"/>
    <n v="1026"/>
    <n v="184.68"/>
  </r>
  <r>
    <s v="ORD0133"/>
    <x v="92"/>
    <s v="Customer 047"/>
    <x v="1"/>
    <x v="1"/>
    <x v="1"/>
    <n v="1"/>
    <n v="0"/>
    <n v="85"/>
    <n v="16.149999999999999"/>
  </r>
  <r>
    <s v="ORD0456"/>
    <x v="92"/>
    <s v="Customer 009"/>
    <x v="4"/>
    <x v="1"/>
    <x v="0"/>
    <n v="1"/>
    <n v="0.05"/>
    <n v="209"/>
    <n v="29.26"/>
  </r>
  <r>
    <s v="ORD0216"/>
    <x v="92"/>
    <s v="Customer 019"/>
    <x v="7"/>
    <x v="3"/>
    <x v="0"/>
    <n v="3"/>
    <n v="0.05"/>
    <n v="741"/>
    <n v="111.15"/>
  </r>
  <r>
    <s v="ORD0159"/>
    <x v="92"/>
    <s v="Customer 094"/>
    <x v="5"/>
    <x v="2"/>
    <x v="3"/>
    <n v="7"/>
    <n v="0"/>
    <n v="56"/>
    <n v="16.8"/>
  </r>
  <r>
    <s v="ORD0445"/>
    <x v="93"/>
    <s v="Customer 021"/>
    <x v="8"/>
    <x v="1"/>
    <x v="3"/>
    <n v="6"/>
    <n v="0"/>
    <n v="270"/>
    <n v="54"/>
  </r>
  <r>
    <s v="ORD0444"/>
    <x v="94"/>
    <s v="Customer 030"/>
    <x v="9"/>
    <x v="1"/>
    <x v="2"/>
    <n v="1"/>
    <n v="0.1"/>
    <n v="22.5"/>
    <n v="5.18"/>
  </r>
  <r>
    <s v="ORD0310"/>
    <x v="95"/>
    <s v="Customer 022"/>
    <x v="2"/>
    <x v="1"/>
    <x v="2"/>
    <n v="5"/>
    <n v="0"/>
    <n v="3250"/>
    <n v="520"/>
  </r>
  <r>
    <s v="ORD0363"/>
    <x v="96"/>
    <s v="Customer 026"/>
    <x v="5"/>
    <x v="2"/>
    <x v="0"/>
    <n v="4"/>
    <n v="0"/>
    <n v="32"/>
    <n v="9.6"/>
  </r>
  <r>
    <s v="ORD0303"/>
    <x v="96"/>
    <s v="Customer 088"/>
    <x v="5"/>
    <x v="2"/>
    <x v="2"/>
    <n v="6"/>
    <n v="0"/>
    <n v="48"/>
    <n v="14.4"/>
  </r>
  <r>
    <s v="ORD0335"/>
    <x v="97"/>
    <s v="Customer 080"/>
    <x v="9"/>
    <x v="1"/>
    <x v="2"/>
    <n v="3"/>
    <n v="0"/>
    <n v="75"/>
    <n v="17.25"/>
  </r>
  <r>
    <s v="ORD0218"/>
    <x v="98"/>
    <s v="Customer 020"/>
    <x v="4"/>
    <x v="1"/>
    <x v="3"/>
    <n v="3"/>
    <n v="0.05"/>
    <n v="627"/>
    <n v="87.78"/>
  </r>
  <r>
    <s v="ORD0440"/>
    <x v="98"/>
    <s v="Customer 010"/>
    <x v="1"/>
    <x v="1"/>
    <x v="2"/>
    <n v="1"/>
    <n v="0.05"/>
    <n v="80.75"/>
    <n v="15.34"/>
  </r>
  <r>
    <s v="ORD0380"/>
    <x v="98"/>
    <s v="Customer 081"/>
    <x v="4"/>
    <x v="1"/>
    <x v="0"/>
    <n v="1"/>
    <n v="0"/>
    <n v="220"/>
    <n v="30.8"/>
  </r>
  <r>
    <s v="ORD0376"/>
    <x v="99"/>
    <s v="Customer 042"/>
    <x v="9"/>
    <x v="1"/>
    <x v="0"/>
    <n v="8"/>
    <n v="0.1"/>
    <n v="180"/>
    <n v="41.4"/>
  </r>
  <r>
    <s v="ORD0183"/>
    <x v="100"/>
    <s v="Customer 097"/>
    <x v="9"/>
    <x v="1"/>
    <x v="2"/>
    <n v="5"/>
    <n v="0"/>
    <n v="125"/>
    <n v="28.75"/>
  </r>
  <r>
    <s v="ORD0041"/>
    <x v="101"/>
    <s v="Customer 070"/>
    <x v="2"/>
    <x v="1"/>
    <x v="1"/>
    <n v="1"/>
    <n v="0.05"/>
    <n v="617.5"/>
    <n v="98.8"/>
  </r>
  <r>
    <s v="ORD0494"/>
    <x v="102"/>
    <s v="Customer 086"/>
    <x v="4"/>
    <x v="1"/>
    <x v="1"/>
    <n v="8"/>
    <n v="0"/>
    <n v="1760"/>
    <n v="246.4"/>
  </r>
  <r>
    <s v="ORD0328"/>
    <x v="102"/>
    <s v="Customer 003"/>
    <x v="9"/>
    <x v="1"/>
    <x v="3"/>
    <n v="6"/>
    <n v="0.05"/>
    <n v="142.5"/>
    <n v="32.78"/>
  </r>
  <r>
    <s v="ORD0153"/>
    <x v="103"/>
    <s v="Customer 025"/>
    <x v="3"/>
    <x v="2"/>
    <x v="3"/>
    <n v="6"/>
    <n v="0.1"/>
    <n v="64.8"/>
    <n v="18.14"/>
  </r>
  <r>
    <s v="ORD0477"/>
    <x v="103"/>
    <s v="Customer 039"/>
    <x v="9"/>
    <x v="1"/>
    <x v="1"/>
    <n v="4"/>
    <n v="0"/>
    <n v="100"/>
    <n v="23"/>
  </r>
  <r>
    <s v="ORD0109"/>
    <x v="103"/>
    <s v="Customer 020"/>
    <x v="4"/>
    <x v="1"/>
    <x v="2"/>
    <n v="4"/>
    <n v="0"/>
    <n v="880"/>
    <n v="123.2"/>
  </r>
  <r>
    <s v="ORD0064"/>
    <x v="104"/>
    <s v="Customer 002"/>
    <x v="3"/>
    <x v="2"/>
    <x v="1"/>
    <n v="2"/>
    <n v="0"/>
    <n v="24"/>
    <n v="6.72"/>
  </r>
  <r>
    <s v="ORD0044"/>
    <x v="105"/>
    <s v="Customer 082"/>
    <x v="1"/>
    <x v="1"/>
    <x v="1"/>
    <n v="1"/>
    <n v="0.1"/>
    <n v="76.5"/>
    <n v="14.54"/>
  </r>
  <r>
    <s v="ORD0225"/>
    <x v="105"/>
    <s v="Customer 042"/>
    <x v="5"/>
    <x v="2"/>
    <x v="0"/>
    <n v="2"/>
    <n v="0.05"/>
    <n v="15.2"/>
    <n v="4.5599999999999996"/>
  </r>
  <r>
    <s v="ORD0077"/>
    <x v="106"/>
    <s v="Customer 001"/>
    <x v="3"/>
    <x v="2"/>
    <x v="2"/>
    <n v="7"/>
    <n v="0"/>
    <n v="84"/>
    <n v="23.52"/>
  </r>
  <r>
    <s v="ORD0428"/>
    <x v="106"/>
    <s v="Customer 060"/>
    <x v="2"/>
    <x v="1"/>
    <x v="2"/>
    <n v="8"/>
    <n v="0"/>
    <n v="5200"/>
    <n v="832"/>
  </r>
  <r>
    <s v="ORD0018"/>
    <x v="106"/>
    <s v="Customer 008"/>
    <x v="1"/>
    <x v="1"/>
    <x v="3"/>
    <n v="8"/>
    <n v="0"/>
    <n v="680"/>
    <n v="129.19999999999999"/>
  </r>
  <r>
    <s v="ORD0293"/>
    <x v="107"/>
    <s v="Customer 078"/>
    <x v="6"/>
    <x v="3"/>
    <x v="1"/>
    <n v="8"/>
    <n v="0"/>
    <n v="1440"/>
    <n v="259.2"/>
  </r>
  <r>
    <s v="ORD0175"/>
    <x v="108"/>
    <s v="Customer 042"/>
    <x v="9"/>
    <x v="1"/>
    <x v="0"/>
    <n v="6"/>
    <n v="0"/>
    <n v="150"/>
    <n v="34.5"/>
  </r>
  <r>
    <s v="ORD0356"/>
    <x v="108"/>
    <s v="Customer 019"/>
    <x v="5"/>
    <x v="2"/>
    <x v="2"/>
    <n v="6"/>
    <n v="0.1"/>
    <n v="43.2"/>
    <n v="12.96"/>
  </r>
  <r>
    <s v="ORD0404"/>
    <x v="109"/>
    <s v="Customer 080"/>
    <x v="9"/>
    <x v="1"/>
    <x v="1"/>
    <n v="6"/>
    <n v="0"/>
    <n v="150"/>
    <n v="34.5"/>
  </r>
  <r>
    <s v="ORD0029"/>
    <x v="109"/>
    <s v="Customer 028"/>
    <x v="1"/>
    <x v="1"/>
    <x v="3"/>
    <n v="5"/>
    <n v="0"/>
    <n v="425"/>
    <n v="80.75"/>
  </r>
  <r>
    <s v="ORD0054"/>
    <x v="110"/>
    <s v="Customer 017"/>
    <x v="6"/>
    <x v="3"/>
    <x v="1"/>
    <n v="8"/>
    <n v="0"/>
    <n v="1440"/>
    <n v="259.2"/>
  </r>
  <r>
    <s v="ORD0008"/>
    <x v="110"/>
    <s v="Customer 073"/>
    <x v="7"/>
    <x v="3"/>
    <x v="0"/>
    <n v="3"/>
    <n v="0"/>
    <n v="780"/>
    <n v="117"/>
  </r>
  <r>
    <s v="ORD0118"/>
    <x v="111"/>
    <s v="Customer 060"/>
    <x v="6"/>
    <x v="3"/>
    <x v="2"/>
    <n v="2"/>
    <n v="0.05"/>
    <n v="342"/>
    <n v="61.56"/>
  </r>
  <r>
    <s v="ORD0032"/>
    <x v="112"/>
    <s v="Customer 037"/>
    <x v="3"/>
    <x v="2"/>
    <x v="2"/>
    <n v="6"/>
    <n v="0.05"/>
    <n v="68.400000000000006"/>
    <n v="19.149999999999999"/>
  </r>
  <r>
    <s v="ORD0160"/>
    <x v="112"/>
    <s v="Customer 003"/>
    <x v="0"/>
    <x v="0"/>
    <x v="1"/>
    <n v="7"/>
    <n v="0"/>
    <n v="385"/>
    <n v="84.7"/>
  </r>
  <r>
    <s v="ORD0245"/>
    <x v="112"/>
    <s v="Customer 048"/>
    <x v="7"/>
    <x v="3"/>
    <x v="1"/>
    <n v="7"/>
    <n v="0"/>
    <n v="1820"/>
    <n v="273"/>
  </r>
  <r>
    <s v="ORD0171"/>
    <x v="112"/>
    <s v="Customer 076"/>
    <x v="4"/>
    <x v="1"/>
    <x v="2"/>
    <n v="6"/>
    <n v="0"/>
    <n v="1320"/>
    <n v="184.8"/>
  </r>
  <r>
    <s v="ORD0168"/>
    <x v="113"/>
    <s v="Customer 002"/>
    <x v="9"/>
    <x v="1"/>
    <x v="3"/>
    <n v="5"/>
    <n v="0"/>
    <n v="125"/>
    <n v="28.75"/>
  </r>
  <r>
    <s v="ORD0068"/>
    <x v="114"/>
    <s v="Customer 087"/>
    <x v="0"/>
    <x v="0"/>
    <x v="3"/>
    <n v="8"/>
    <n v="0"/>
    <n v="440"/>
    <n v="96.8"/>
  </r>
  <r>
    <s v="ORD0256"/>
    <x v="114"/>
    <s v="Customer 030"/>
    <x v="2"/>
    <x v="1"/>
    <x v="3"/>
    <n v="3"/>
    <n v="0.1"/>
    <n v="1755"/>
    <n v="280.8"/>
  </r>
  <r>
    <s v="ORD0166"/>
    <x v="114"/>
    <s v="Customer 038"/>
    <x v="2"/>
    <x v="1"/>
    <x v="3"/>
    <n v="2"/>
    <n v="0.05"/>
    <n v="1235"/>
    <n v="197.6"/>
  </r>
  <r>
    <s v="ORD0359"/>
    <x v="115"/>
    <s v="Customer 019"/>
    <x v="9"/>
    <x v="1"/>
    <x v="0"/>
    <n v="7"/>
    <n v="0"/>
    <n v="175"/>
    <n v="40.25"/>
  </r>
  <r>
    <s v="ORD0027"/>
    <x v="115"/>
    <s v="Customer 029"/>
    <x v="3"/>
    <x v="2"/>
    <x v="1"/>
    <n v="5"/>
    <n v="0"/>
    <n v="60"/>
    <n v="16.8"/>
  </r>
  <r>
    <s v="ORD0046"/>
    <x v="116"/>
    <s v="Customer 060"/>
    <x v="3"/>
    <x v="2"/>
    <x v="2"/>
    <n v="4"/>
    <n v="0"/>
    <n v="48"/>
    <n v="13.44"/>
  </r>
  <r>
    <s v="ORD0099"/>
    <x v="116"/>
    <s v="Customer 069"/>
    <x v="6"/>
    <x v="3"/>
    <x v="0"/>
    <n v="3"/>
    <n v="0"/>
    <n v="540"/>
    <n v="97.2"/>
  </r>
  <r>
    <s v="ORD0395"/>
    <x v="116"/>
    <s v="Customer 023"/>
    <x v="6"/>
    <x v="3"/>
    <x v="2"/>
    <n v="3"/>
    <n v="0"/>
    <n v="540"/>
    <n v="97.2"/>
  </r>
  <r>
    <s v="ORD0369"/>
    <x v="116"/>
    <s v="Customer 036"/>
    <x v="8"/>
    <x v="1"/>
    <x v="2"/>
    <n v="8"/>
    <n v="0.05"/>
    <n v="342"/>
    <n v="68.400000000000006"/>
  </r>
  <r>
    <s v="ORD0298"/>
    <x v="117"/>
    <s v="Customer 053"/>
    <x v="0"/>
    <x v="0"/>
    <x v="0"/>
    <n v="4"/>
    <n v="0"/>
    <n v="220"/>
    <n v="48.4"/>
  </r>
  <r>
    <s v="ORD0350"/>
    <x v="117"/>
    <s v="Customer 008"/>
    <x v="4"/>
    <x v="1"/>
    <x v="2"/>
    <n v="2"/>
    <n v="0.1"/>
    <n v="396"/>
    <n v="55.44"/>
  </r>
  <r>
    <s v="ORD0075"/>
    <x v="118"/>
    <s v="Customer 063"/>
    <x v="9"/>
    <x v="1"/>
    <x v="0"/>
    <n v="6"/>
    <n v="0"/>
    <n v="150"/>
    <n v="34.5"/>
  </r>
  <r>
    <s v="ORD0043"/>
    <x v="118"/>
    <s v="Customer 096"/>
    <x v="8"/>
    <x v="1"/>
    <x v="3"/>
    <n v="7"/>
    <n v="0"/>
    <n v="315"/>
    <n v="63"/>
  </r>
  <r>
    <s v="ORD0308"/>
    <x v="119"/>
    <s v="Customer 074"/>
    <x v="5"/>
    <x v="2"/>
    <x v="0"/>
    <n v="4"/>
    <n v="0.05"/>
    <n v="30.4"/>
    <n v="9.1199999999999992"/>
  </r>
  <r>
    <s v="ORD0434"/>
    <x v="119"/>
    <s v="Customer 058"/>
    <x v="2"/>
    <x v="1"/>
    <x v="0"/>
    <n v="5"/>
    <n v="0"/>
    <n v="3250"/>
    <n v="520"/>
  </r>
  <r>
    <s v="ORD0195"/>
    <x v="120"/>
    <s v="Customer 073"/>
    <x v="8"/>
    <x v="1"/>
    <x v="1"/>
    <n v="8"/>
    <n v="0.05"/>
    <n v="342"/>
    <n v="68.400000000000006"/>
  </r>
  <r>
    <s v="ORD0415"/>
    <x v="120"/>
    <s v="Customer 028"/>
    <x v="1"/>
    <x v="1"/>
    <x v="0"/>
    <n v="3"/>
    <n v="0"/>
    <n v="255"/>
    <n v="48.45"/>
  </r>
  <r>
    <s v="ORD0045"/>
    <x v="121"/>
    <s v="Customer 094"/>
    <x v="1"/>
    <x v="1"/>
    <x v="1"/>
    <n v="1"/>
    <n v="0.05"/>
    <n v="80.75"/>
    <n v="15.34"/>
  </r>
  <r>
    <s v="ORD0346"/>
    <x v="121"/>
    <s v="Customer 045"/>
    <x v="5"/>
    <x v="2"/>
    <x v="3"/>
    <n v="4"/>
    <n v="0"/>
    <n v="32"/>
    <n v="9.6"/>
  </r>
  <r>
    <s v="ORD0412"/>
    <x v="121"/>
    <s v="Customer 031"/>
    <x v="4"/>
    <x v="1"/>
    <x v="1"/>
    <n v="4"/>
    <n v="0"/>
    <n v="880"/>
    <n v="123.2"/>
  </r>
  <r>
    <s v="ORD0033"/>
    <x v="122"/>
    <s v="Customer 059"/>
    <x v="9"/>
    <x v="1"/>
    <x v="1"/>
    <n v="4"/>
    <n v="0"/>
    <n v="100"/>
    <n v="23"/>
  </r>
  <r>
    <s v="ORD0325"/>
    <x v="122"/>
    <s v="Customer 049"/>
    <x v="6"/>
    <x v="3"/>
    <x v="2"/>
    <n v="4"/>
    <n v="0"/>
    <n v="720"/>
    <n v="129.6"/>
  </r>
  <r>
    <s v="ORD0003"/>
    <x v="122"/>
    <s v="Customer 022"/>
    <x v="6"/>
    <x v="3"/>
    <x v="1"/>
    <n v="8"/>
    <n v="0"/>
    <n v="1440"/>
    <n v="259.2"/>
  </r>
  <r>
    <s v="ORD0466"/>
    <x v="122"/>
    <s v="Customer 076"/>
    <x v="8"/>
    <x v="1"/>
    <x v="0"/>
    <n v="6"/>
    <n v="0.05"/>
    <n v="256.5"/>
    <n v="51.3"/>
  </r>
  <r>
    <s v="ORD0199"/>
    <x v="122"/>
    <s v="Customer 071"/>
    <x v="8"/>
    <x v="1"/>
    <x v="0"/>
    <n v="6"/>
    <n v="0"/>
    <n v="270"/>
    <n v="54"/>
  </r>
  <r>
    <s v="ORD0049"/>
    <x v="122"/>
    <s v="Customer 033"/>
    <x v="8"/>
    <x v="1"/>
    <x v="2"/>
    <n v="4"/>
    <n v="0.05"/>
    <n v="171"/>
    <n v="34.200000000000003"/>
  </r>
  <r>
    <s v="ORD0051"/>
    <x v="123"/>
    <s v="Customer 018"/>
    <x v="1"/>
    <x v="1"/>
    <x v="0"/>
    <n v="3"/>
    <n v="0"/>
    <n v="255"/>
    <n v="48.45"/>
  </r>
  <r>
    <s v="ORD0443"/>
    <x v="123"/>
    <s v="Customer 059"/>
    <x v="3"/>
    <x v="2"/>
    <x v="3"/>
    <n v="1"/>
    <n v="0.05"/>
    <n v="11.4"/>
    <n v="3.19"/>
  </r>
  <r>
    <s v="ORD0236"/>
    <x v="124"/>
    <s v="Customer 073"/>
    <x v="4"/>
    <x v="1"/>
    <x v="2"/>
    <n v="1"/>
    <n v="0"/>
    <n v="220"/>
    <n v="30.8"/>
  </r>
  <r>
    <s v="ORD0486"/>
    <x v="124"/>
    <s v="Customer 014"/>
    <x v="3"/>
    <x v="2"/>
    <x v="3"/>
    <n v="5"/>
    <n v="0.05"/>
    <n v="57"/>
    <n v="15.96"/>
  </r>
  <r>
    <s v="ORD0419"/>
    <x v="125"/>
    <s v="Customer 086"/>
    <x v="8"/>
    <x v="1"/>
    <x v="3"/>
    <n v="7"/>
    <n v="0.1"/>
    <n v="283.5"/>
    <n v="56.7"/>
  </r>
  <r>
    <s v="ORD0201"/>
    <x v="126"/>
    <s v="Customer 085"/>
    <x v="5"/>
    <x v="2"/>
    <x v="2"/>
    <n v="2"/>
    <n v="0"/>
    <n v="16"/>
    <n v="4.8"/>
  </r>
  <r>
    <s v="ORD0117"/>
    <x v="126"/>
    <s v="Customer 008"/>
    <x v="5"/>
    <x v="2"/>
    <x v="0"/>
    <n v="4"/>
    <n v="0"/>
    <n v="32"/>
    <n v="9.6"/>
  </r>
  <r>
    <s v="ORD0181"/>
    <x v="127"/>
    <s v="Customer 057"/>
    <x v="3"/>
    <x v="2"/>
    <x v="2"/>
    <n v="3"/>
    <n v="0"/>
    <n v="36"/>
    <n v="10.08"/>
  </r>
  <r>
    <s v="ORD0185"/>
    <x v="127"/>
    <s v="Customer 068"/>
    <x v="0"/>
    <x v="0"/>
    <x v="1"/>
    <n v="5"/>
    <n v="0.05"/>
    <n v="261.25"/>
    <n v="57.48"/>
  </r>
  <r>
    <s v="ORD0086"/>
    <x v="128"/>
    <s v="Customer 084"/>
    <x v="4"/>
    <x v="1"/>
    <x v="1"/>
    <n v="1"/>
    <n v="0.05"/>
    <n v="209"/>
    <n v="29.26"/>
  </r>
  <r>
    <s v="ORD0381"/>
    <x v="128"/>
    <s v="Customer 010"/>
    <x v="7"/>
    <x v="3"/>
    <x v="1"/>
    <n v="7"/>
    <n v="0"/>
    <n v="1820"/>
    <n v="273"/>
  </r>
  <r>
    <s v="ORD0485"/>
    <x v="128"/>
    <s v="Customer 075"/>
    <x v="5"/>
    <x v="2"/>
    <x v="3"/>
    <n v="7"/>
    <n v="0.15"/>
    <n v="47.6"/>
    <n v="14.28"/>
  </r>
  <r>
    <s v="ORD0279"/>
    <x v="128"/>
    <s v="Customer 053"/>
    <x v="3"/>
    <x v="2"/>
    <x v="1"/>
    <n v="2"/>
    <n v="0.05"/>
    <n v="22.8"/>
    <n v="6.38"/>
  </r>
  <r>
    <s v="ORD0200"/>
    <x v="129"/>
    <s v="Customer 029"/>
    <x v="7"/>
    <x v="3"/>
    <x v="0"/>
    <n v="8"/>
    <n v="0.05"/>
    <n v="1976"/>
    <n v="296.39999999999998"/>
  </r>
  <r>
    <s v="ORD0470"/>
    <x v="129"/>
    <s v="Customer 070"/>
    <x v="5"/>
    <x v="2"/>
    <x v="0"/>
    <n v="5"/>
    <n v="0.05"/>
    <n v="38"/>
    <n v="11.4"/>
  </r>
  <r>
    <s v="ORD0489"/>
    <x v="129"/>
    <s v="Customer 068"/>
    <x v="1"/>
    <x v="1"/>
    <x v="2"/>
    <n v="5"/>
    <n v="0"/>
    <n v="425"/>
    <n v="80.75"/>
  </r>
  <r>
    <s v="ORD0209"/>
    <x v="130"/>
    <s v="Customer 097"/>
    <x v="9"/>
    <x v="1"/>
    <x v="3"/>
    <n v="3"/>
    <n v="0"/>
    <n v="75"/>
    <n v="17.25"/>
  </r>
  <r>
    <s v="ORD0283"/>
    <x v="131"/>
    <s v="Customer 070"/>
    <x v="0"/>
    <x v="0"/>
    <x v="3"/>
    <n v="5"/>
    <n v="0"/>
    <n v="275"/>
    <n v="60.5"/>
  </r>
  <r>
    <s v="ORD0019"/>
    <x v="131"/>
    <s v="Customer 033"/>
    <x v="8"/>
    <x v="1"/>
    <x v="1"/>
    <n v="1"/>
    <n v="0.05"/>
    <n v="42.75"/>
    <n v="8.5500000000000007"/>
  </r>
  <r>
    <s v="ORD0405"/>
    <x v="131"/>
    <s v="Customer 091"/>
    <x v="1"/>
    <x v="1"/>
    <x v="2"/>
    <n v="7"/>
    <n v="0.05"/>
    <n v="565.25"/>
    <n v="107.4"/>
  </r>
  <r>
    <s v="ORD0334"/>
    <x v="132"/>
    <s v="Customer 023"/>
    <x v="2"/>
    <x v="1"/>
    <x v="0"/>
    <n v="8"/>
    <n v="0"/>
    <n v="5200"/>
    <n v="832"/>
  </r>
  <r>
    <s v="ORD0232"/>
    <x v="132"/>
    <s v="Customer 059"/>
    <x v="0"/>
    <x v="0"/>
    <x v="0"/>
    <n v="3"/>
    <n v="0"/>
    <n v="165"/>
    <n v="36.299999999999997"/>
  </r>
  <r>
    <s v="ORD0174"/>
    <x v="133"/>
    <s v="Customer 083"/>
    <x v="8"/>
    <x v="1"/>
    <x v="0"/>
    <n v="5"/>
    <n v="0.05"/>
    <n v="213.75"/>
    <n v="42.75"/>
  </r>
  <r>
    <s v="ORD0214"/>
    <x v="133"/>
    <s v="Customer 085"/>
    <x v="6"/>
    <x v="3"/>
    <x v="2"/>
    <n v="4"/>
    <n v="0"/>
    <n v="720"/>
    <n v="129.6"/>
  </r>
  <r>
    <s v="ORD0228"/>
    <x v="134"/>
    <s v="Customer 012"/>
    <x v="5"/>
    <x v="2"/>
    <x v="2"/>
    <n v="3"/>
    <n v="0.05"/>
    <n v="22.8"/>
    <n v="6.84"/>
  </r>
  <r>
    <s v="ORD0277"/>
    <x v="135"/>
    <s v="Customer 063"/>
    <x v="1"/>
    <x v="1"/>
    <x v="3"/>
    <n v="5"/>
    <n v="0.05"/>
    <n v="403.75"/>
    <n v="76.709999999999994"/>
  </r>
  <r>
    <s v="ORD0190"/>
    <x v="136"/>
    <s v="Customer 100"/>
    <x v="0"/>
    <x v="0"/>
    <x v="3"/>
    <n v="4"/>
    <n v="0.1"/>
    <n v="198"/>
    <n v="43.56"/>
  </r>
  <r>
    <s v="ORD0038"/>
    <x v="137"/>
    <s v="Customer 032"/>
    <x v="4"/>
    <x v="1"/>
    <x v="2"/>
    <n v="5"/>
    <n v="0.05"/>
    <n v="1045"/>
    <n v="146.30000000000001"/>
  </r>
  <r>
    <s v="ORD0022"/>
    <x v="137"/>
    <s v="Customer 086"/>
    <x v="7"/>
    <x v="3"/>
    <x v="3"/>
    <n v="3"/>
    <n v="0.1"/>
    <n v="702"/>
    <n v="105.3"/>
  </r>
  <r>
    <s v="ORD0129"/>
    <x v="138"/>
    <s v="Customer 004"/>
    <x v="2"/>
    <x v="1"/>
    <x v="0"/>
    <n v="3"/>
    <n v="0"/>
    <n v="1950"/>
    <n v="312"/>
  </r>
  <r>
    <s v="ORD0164"/>
    <x v="138"/>
    <s v="Customer 005"/>
    <x v="0"/>
    <x v="0"/>
    <x v="3"/>
    <n v="2"/>
    <n v="0"/>
    <n v="110"/>
    <n v="24.2"/>
  </r>
  <r>
    <s v="ORD0229"/>
    <x v="138"/>
    <s v="Customer 026"/>
    <x v="7"/>
    <x v="3"/>
    <x v="0"/>
    <n v="7"/>
    <n v="0"/>
    <n v="1820"/>
    <n v="273"/>
  </r>
  <r>
    <s v="ORD0112"/>
    <x v="138"/>
    <s v="Customer 045"/>
    <x v="9"/>
    <x v="1"/>
    <x v="3"/>
    <n v="4"/>
    <n v="0"/>
    <n v="100"/>
    <n v="23"/>
  </r>
  <r>
    <s v="ORD0063"/>
    <x v="139"/>
    <s v="Customer 032"/>
    <x v="8"/>
    <x v="1"/>
    <x v="3"/>
    <n v="8"/>
    <n v="0.05"/>
    <n v="342"/>
    <n v="68.400000000000006"/>
  </r>
  <r>
    <s v="ORD0206"/>
    <x v="140"/>
    <s v="Customer 066"/>
    <x v="2"/>
    <x v="1"/>
    <x v="2"/>
    <n v="6"/>
    <n v="0"/>
    <n v="3900"/>
    <n v="624"/>
  </r>
  <r>
    <s v="ORD0338"/>
    <x v="140"/>
    <s v="Customer 076"/>
    <x v="1"/>
    <x v="1"/>
    <x v="0"/>
    <n v="3"/>
    <n v="0"/>
    <n v="255"/>
    <n v="48.45"/>
  </r>
  <r>
    <s v="ORD0025"/>
    <x v="141"/>
    <s v="Customer 096"/>
    <x v="9"/>
    <x v="1"/>
    <x v="1"/>
    <n v="2"/>
    <n v="0.05"/>
    <n v="47.5"/>
    <n v="10.92"/>
  </r>
  <r>
    <s v="ORD0071"/>
    <x v="142"/>
    <s v="Customer 070"/>
    <x v="5"/>
    <x v="2"/>
    <x v="2"/>
    <n v="1"/>
    <n v="0"/>
    <n v="8"/>
    <n v="2.4"/>
  </r>
  <r>
    <s v="ORD0034"/>
    <x v="142"/>
    <s v="Customer 062"/>
    <x v="0"/>
    <x v="0"/>
    <x v="0"/>
    <n v="1"/>
    <n v="0.15"/>
    <n v="46.75"/>
    <n v="10.28"/>
  </r>
  <r>
    <s v="ORD0060"/>
    <x v="143"/>
    <s v="Customer 099"/>
    <x v="2"/>
    <x v="1"/>
    <x v="1"/>
    <n v="6"/>
    <n v="0.15"/>
    <n v="3315"/>
    <n v="530.4"/>
  </r>
  <r>
    <s v="ORD0468"/>
    <x v="144"/>
    <s v="Customer 055"/>
    <x v="6"/>
    <x v="3"/>
    <x v="0"/>
    <n v="6"/>
    <n v="0"/>
    <n v="1080"/>
    <n v="194.4"/>
  </r>
  <r>
    <s v="ORD0249"/>
    <x v="144"/>
    <s v="Customer 039"/>
    <x v="0"/>
    <x v="0"/>
    <x v="1"/>
    <n v="2"/>
    <n v="0"/>
    <n v="110"/>
    <n v="24.2"/>
  </r>
  <r>
    <s v="ORD0095"/>
    <x v="144"/>
    <s v="Customer 023"/>
    <x v="7"/>
    <x v="3"/>
    <x v="0"/>
    <n v="4"/>
    <n v="0.05"/>
    <n v="988"/>
    <n v="148.19999999999999"/>
  </r>
  <r>
    <s v="ORD0254"/>
    <x v="145"/>
    <s v="Customer 056"/>
    <x v="7"/>
    <x v="3"/>
    <x v="3"/>
    <n v="4"/>
    <n v="0"/>
    <n v="1040"/>
    <n v="156"/>
  </r>
  <r>
    <s v="ORD0453"/>
    <x v="146"/>
    <s v="Customer 072"/>
    <x v="0"/>
    <x v="0"/>
    <x v="3"/>
    <n v="2"/>
    <n v="0"/>
    <n v="110"/>
    <n v="24.2"/>
  </r>
  <r>
    <s v="ORD0101"/>
    <x v="146"/>
    <s v="Customer 014"/>
    <x v="7"/>
    <x v="3"/>
    <x v="1"/>
    <n v="2"/>
    <n v="0"/>
    <n v="520"/>
    <n v="78"/>
  </r>
  <r>
    <s v="ORD0097"/>
    <x v="147"/>
    <s v="Customer 049"/>
    <x v="1"/>
    <x v="1"/>
    <x v="1"/>
    <n v="6"/>
    <n v="0"/>
    <n v="510"/>
    <n v="96.9"/>
  </r>
  <r>
    <s v="ORD0424"/>
    <x v="148"/>
    <s v="Customer 063"/>
    <x v="2"/>
    <x v="1"/>
    <x v="1"/>
    <n v="3"/>
    <n v="0"/>
    <n v="1950"/>
    <n v="312"/>
  </r>
  <r>
    <s v="ORD0465"/>
    <x v="148"/>
    <s v="Customer 019"/>
    <x v="8"/>
    <x v="1"/>
    <x v="3"/>
    <n v="7"/>
    <n v="0"/>
    <n v="315"/>
    <n v="63"/>
  </r>
  <r>
    <s v="ORD0006"/>
    <x v="148"/>
    <s v="Customer 015"/>
    <x v="9"/>
    <x v="1"/>
    <x v="3"/>
    <n v="8"/>
    <n v="0"/>
    <n v="200"/>
    <n v="46"/>
  </r>
  <r>
    <s v="ORD0384"/>
    <x v="148"/>
    <s v="Customer 019"/>
    <x v="3"/>
    <x v="2"/>
    <x v="2"/>
    <n v="8"/>
    <n v="0.05"/>
    <n v="91.2"/>
    <n v="25.54"/>
  </r>
  <r>
    <s v="ORD0248"/>
    <x v="148"/>
    <s v="Customer 098"/>
    <x v="8"/>
    <x v="1"/>
    <x v="0"/>
    <n v="4"/>
    <n v="0.1"/>
    <n v="162"/>
    <n v="32.4"/>
  </r>
  <r>
    <s v="ORD0015"/>
    <x v="149"/>
    <s v="Customer 085"/>
    <x v="3"/>
    <x v="2"/>
    <x v="3"/>
    <n v="4"/>
    <n v="0"/>
    <n v="48"/>
    <n v="13.44"/>
  </r>
  <r>
    <s v="ORD0013"/>
    <x v="150"/>
    <s v="Customer 090"/>
    <x v="6"/>
    <x v="3"/>
    <x v="2"/>
    <n v="6"/>
    <n v="0"/>
    <n v="1080"/>
    <n v="194.4"/>
  </r>
  <r>
    <s v="ORD0093"/>
    <x v="151"/>
    <s v="Customer 049"/>
    <x v="1"/>
    <x v="1"/>
    <x v="1"/>
    <n v="8"/>
    <n v="0.05"/>
    <n v="646"/>
    <n v="122.74"/>
  </r>
  <r>
    <s v="ORD0287"/>
    <x v="152"/>
    <s v="Customer 090"/>
    <x v="2"/>
    <x v="1"/>
    <x v="2"/>
    <n v="2"/>
    <n v="0"/>
    <n v="1300"/>
    <n v="208"/>
  </r>
  <r>
    <s v="ORD0142"/>
    <x v="153"/>
    <s v="Customer 093"/>
    <x v="8"/>
    <x v="1"/>
    <x v="1"/>
    <n v="8"/>
    <n v="0.15"/>
    <n v="306"/>
    <n v="61.2"/>
  </r>
  <r>
    <s v="ORD0387"/>
    <x v="154"/>
    <s v="Customer 049"/>
    <x v="1"/>
    <x v="1"/>
    <x v="0"/>
    <n v="7"/>
    <n v="0.1"/>
    <n v="535.5"/>
    <n v="101.74"/>
  </r>
  <r>
    <s v="ORD0073"/>
    <x v="154"/>
    <s v="Customer 096"/>
    <x v="7"/>
    <x v="3"/>
    <x v="2"/>
    <n v="7"/>
    <n v="0"/>
    <n v="1820"/>
    <n v="273"/>
  </r>
  <r>
    <s v="ORD0484"/>
    <x v="154"/>
    <s v="Customer 033"/>
    <x v="1"/>
    <x v="1"/>
    <x v="2"/>
    <n v="5"/>
    <n v="0.05"/>
    <n v="403.75"/>
    <n v="76.709999999999994"/>
  </r>
  <r>
    <s v="ORD0342"/>
    <x v="155"/>
    <s v="Customer 059"/>
    <x v="3"/>
    <x v="2"/>
    <x v="0"/>
    <n v="3"/>
    <n v="0"/>
    <n v="36"/>
    <n v="10.08"/>
  </r>
  <r>
    <s v="ORD0242"/>
    <x v="155"/>
    <s v="Customer 025"/>
    <x v="7"/>
    <x v="3"/>
    <x v="3"/>
    <n v="6"/>
    <n v="0.1"/>
    <n v="1404"/>
    <n v="210.6"/>
  </r>
  <r>
    <s v="ORD0492"/>
    <x v="155"/>
    <s v="Customer 065"/>
    <x v="2"/>
    <x v="1"/>
    <x v="2"/>
    <n v="2"/>
    <n v="0"/>
    <n v="1300"/>
    <n v="208"/>
  </r>
  <r>
    <s v="ORD0299"/>
    <x v="156"/>
    <s v="Customer 093"/>
    <x v="4"/>
    <x v="1"/>
    <x v="1"/>
    <n v="4"/>
    <n v="0"/>
    <n v="880"/>
    <n v="123.2"/>
  </r>
  <r>
    <s v="ORD0261"/>
    <x v="156"/>
    <s v="Customer 004"/>
    <x v="4"/>
    <x v="1"/>
    <x v="3"/>
    <n v="1"/>
    <n v="0"/>
    <n v="220"/>
    <n v="30.8"/>
  </r>
  <r>
    <s v="ORD0223"/>
    <x v="157"/>
    <s v="Customer 022"/>
    <x v="1"/>
    <x v="1"/>
    <x v="2"/>
    <n v="7"/>
    <n v="0.1"/>
    <n v="535.5"/>
    <n v="101.74"/>
  </r>
  <r>
    <s v="ORD0039"/>
    <x v="158"/>
    <s v="Customer 017"/>
    <x v="3"/>
    <x v="2"/>
    <x v="3"/>
    <n v="4"/>
    <n v="0.05"/>
    <n v="45.6"/>
    <n v="12.77"/>
  </r>
  <r>
    <s v="ORD0343"/>
    <x v="159"/>
    <s v="Customer 020"/>
    <x v="2"/>
    <x v="1"/>
    <x v="3"/>
    <n v="3"/>
    <n v="0.15"/>
    <n v="1657.5"/>
    <n v="265.2"/>
  </r>
  <r>
    <s v="ORD0301"/>
    <x v="159"/>
    <s v="Customer 017"/>
    <x v="1"/>
    <x v="1"/>
    <x v="1"/>
    <n v="6"/>
    <n v="0.05"/>
    <n v="484.5"/>
    <n v="92.06"/>
  </r>
  <r>
    <s v="ORD0393"/>
    <x v="160"/>
    <s v="Customer 062"/>
    <x v="1"/>
    <x v="1"/>
    <x v="2"/>
    <n v="7"/>
    <n v="0"/>
    <n v="595"/>
    <n v="113.05"/>
  </r>
  <r>
    <s v="ORD0204"/>
    <x v="161"/>
    <s v="Customer 032"/>
    <x v="3"/>
    <x v="2"/>
    <x v="2"/>
    <n v="3"/>
    <n v="0"/>
    <n v="36"/>
    <n v="10.08"/>
  </r>
  <r>
    <s v="ORD0435"/>
    <x v="161"/>
    <s v="Customer 028"/>
    <x v="6"/>
    <x v="3"/>
    <x v="1"/>
    <n v="3"/>
    <n v="0"/>
    <n v="540"/>
    <n v="97.2"/>
  </r>
  <r>
    <s v="ORD0120"/>
    <x v="162"/>
    <s v="Customer 092"/>
    <x v="2"/>
    <x v="1"/>
    <x v="0"/>
    <n v="1"/>
    <n v="0"/>
    <n v="650"/>
    <n v="104"/>
  </r>
  <r>
    <s v="ORD0113"/>
    <x v="163"/>
    <s v="Customer 036"/>
    <x v="7"/>
    <x v="3"/>
    <x v="1"/>
    <n v="8"/>
    <n v="0.05"/>
    <n v="1976"/>
    <n v="296.39999999999998"/>
  </r>
  <r>
    <s v="ORD0375"/>
    <x v="164"/>
    <s v="Customer 009"/>
    <x v="5"/>
    <x v="2"/>
    <x v="3"/>
    <n v="5"/>
    <n v="0.05"/>
    <n v="38"/>
    <n v="11.4"/>
  </r>
  <r>
    <s v="ORD0497"/>
    <x v="164"/>
    <s v="Customer 085"/>
    <x v="6"/>
    <x v="3"/>
    <x v="1"/>
    <n v="6"/>
    <n v="0.05"/>
    <n v="1026"/>
    <n v="184.68"/>
  </r>
  <r>
    <s v="ORD0221"/>
    <x v="165"/>
    <s v="Customer 096"/>
    <x v="0"/>
    <x v="0"/>
    <x v="3"/>
    <n v="3"/>
    <n v="0"/>
    <n v="165"/>
    <n v="36.299999999999997"/>
  </r>
  <r>
    <s v="ORD0002"/>
    <x v="165"/>
    <s v="Customer 075"/>
    <x v="3"/>
    <x v="2"/>
    <x v="1"/>
    <n v="2"/>
    <n v="0.1"/>
    <n v="21.6"/>
    <n v="6.05"/>
  </r>
  <r>
    <s v="ORD0102"/>
    <x v="165"/>
    <s v="Customer 075"/>
    <x v="7"/>
    <x v="3"/>
    <x v="0"/>
    <n v="3"/>
    <n v="0"/>
    <n v="780"/>
    <n v="117"/>
  </r>
  <r>
    <s v="ORD0184"/>
    <x v="166"/>
    <s v="Customer 056"/>
    <x v="6"/>
    <x v="3"/>
    <x v="3"/>
    <n v="5"/>
    <n v="0"/>
    <n v="900"/>
    <n v="162"/>
  </r>
  <r>
    <s v="ORD0275"/>
    <x v="166"/>
    <s v="Customer 080"/>
    <x v="2"/>
    <x v="1"/>
    <x v="1"/>
    <n v="6"/>
    <n v="0.05"/>
    <n v="3705"/>
    <n v="592.79999999999995"/>
  </r>
  <r>
    <s v="ORD0237"/>
    <x v="167"/>
    <s v="Customer 043"/>
    <x v="2"/>
    <x v="1"/>
    <x v="0"/>
    <n v="1"/>
    <n v="0.05"/>
    <n v="617.5"/>
    <n v="98.8"/>
  </r>
  <r>
    <s v="ORD0286"/>
    <x v="168"/>
    <s v="Customer 017"/>
    <x v="4"/>
    <x v="1"/>
    <x v="3"/>
    <n v="4"/>
    <n v="0.05"/>
    <n v="836"/>
    <n v="117.04"/>
  </r>
  <r>
    <s v="ORD0481"/>
    <x v="169"/>
    <s v="Customer 010"/>
    <x v="8"/>
    <x v="1"/>
    <x v="2"/>
    <n v="7"/>
    <n v="0"/>
    <n v="315"/>
    <n v="63"/>
  </r>
  <r>
    <s v="ORD0463"/>
    <x v="170"/>
    <s v="Customer 003"/>
    <x v="3"/>
    <x v="2"/>
    <x v="2"/>
    <n v="4"/>
    <n v="0"/>
    <n v="48"/>
    <n v="13.44"/>
  </r>
  <r>
    <s v="ORD0319"/>
    <x v="170"/>
    <s v="Customer 053"/>
    <x v="6"/>
    <x v="3"/>
    <x v="1"/>
    <n v="5"/>
    <n v="0.05"/>
    <n v="855"/>
    <n v="153.9"/>
  </r>
  <r>
    <s v="ORD0219"/>
    <x v="171"/>
    <s v="Customer 098"/>
    <x v="5"/>
    <x v="2"/>
    <x v="0"/>
    <n v="8"/>
    <n v="0.1"/>
    <n v="57.6"/>
    <n v="17.28"/>
  </r>
  <r>
    <s v="ORD0207"/>
    <x v="171"/>
    <s v="Customer 051"/>
    <x v="2"/>
    <x v="1"/>
    <x v="2"/>
    <n v="2"/>
    <n v="0"/>
    <n v="1300"/>
    <n v="208"/>
  </r>
  <r>
    <s v="ORD0345"/>
    <x v="172"/>
    <s v="Customer 043"/>
    <x v="1"/>
    <x v="1"/>
    <x v="3"/>
    <n v="7"/>
    <n v="0"/>
    <n v="595"/>
    <n v="113.05"/>
  </r>
  <r>
    <s v="ORD0281"/>
    <x v="173"/>
    <s v="Customer 046"/>
    <x v="3"/>
    <x v="2"/>
    <x v="0"/>
    <n v="2"/>
    <n v="0"/>
    <n v="24"/>
    <n v="6.72"/>
  </r>
  <r>
    <s v="ORD0037"/>
    <x v="173"/>
    <s v="Customer 001"/>
    <x v="5"/>
    <x v="2"/>
    <x v="0"/>
    <n v="7"/>
    <n v="0"/>
    <n v="56"/>
    <n v="16.8"/>
  </r>
  <r>
    <s v="ORD0329"/>
    <x v="174"/>
    <s v="Customer 026"/>
    <x v="0"/>
    <x v="0"/>
    <x v="1"/>
    <n v="5"/>
    <n v="0.05"/>
    <n v="261.25"/>
    <n v="57.48"/>
  </r>
  <r>
    <s v="ORD0291"/>
    <x v="175"/>
    <s v="Customer 004"/>
    <x v="3"/>
    <x v="2"/>
    <x v="0"/>
    <n v="2"/>
    <n v="0"/>
    <n v="24"/>
    <n v="6.72"/>
  </r>
  <r>
    <s v="ORD0269"/>
    <x v="175"/>
    <s v="Customer 042"/>
    <x v="1"/>
    <x v="1"/>
    <x v="3"/>
    <n v="3"/>
    <n v="0.1"/>
    <n v="229.5"/>
    <n v="43.6"/>
  </r>
  <r>
    <s v="ORD0398"/>
    <x v="175"/>
    <s v="Customer 014"/>
    <x v="5"/>
    <x v="2"/>
    <x v="0"/>
    <n v="4"/>
    <n v="0"/>
    <n v="32"/>
    <n v="9.6"/>
  </r>
  <r>
    <s v="ORD0426"/>
    <x v="176"/>
    <s v="Customer 093"/>
    <x v="4"/>
    <x v="1"/>
    <x v="0"/>
    <n v="8"/>
    <n v="0"/>
    <n v="1760"/>
    <n v="246.4"/>
  </r>
  <r>
    <s v="ORD0500"/>
    <x v="176"/>
    <s v="Customer 039"/>
    <x v="2"/>
    <x v="1"/>
    <x v="2"/>
    <n v="2"/>
    <n v="0.05"/>
    <n v="1235"/>
    <n v="197.6"/>
  </r>
  <r>
    <s v="ORD0289"/>
    <x v="176"/>
    <s v="Customer 076"/>
    <x v="6"/>
    <x v="3"/>
    <x v="3"/>
    <n v="3"/>
    <n v="0"/>
    <n v="540"/>
    <n v="97.2"/>
  </r>
  <r>
    <s v="ORD0483"/>
    <x v="177"/>
    <s v="Customer 084"/>
    <x v="1"/>
    <x v="1"/>
    <x v="3"/>
    <n v="5"/>
    <n v="0.05"/>
    <n v="403.75"/>
    <n v="76.709999999999994"/>
  </r>
  <r>
    <s v="ORD0119"/>
    <x v="177"/>
    <s v="Customer 027"/>
    <x v="7"/>
    <x v="3"/>
    <x v="3"/>
    <n v="1"/>
    <n v="0.05"/>
    <n v="247"/>
    <n v="37.049999999999997"/>
  </r>
  <r>
    <s v="ORD0155"/>
    <x v="177"/>
    <s v="Customer 086"/>
    <x v="4"/>
    <x v="1"/>
    <x v="1"/>
    <n v="7"/>
    <n v="0.05"/>
    <n v="1463"/>
    <n v="204.82"/>
  </r>
  <r>
    <s v="ORD0421"/>
    <x v="178"/>
    <s v="Customer 021"/>
    <x v="7"/>
    <x v="3"/>
    <x v="1"/>
    <n v="6"/>
    <n v="0.05"/>
    <n v="1482"/>
    <n v="222.3"/>
  </r>
  <r>
    <s v="ORD0397"/>
    <x v="179"/>
    <s v="Customer 033"/>
    <x v="7"/>
    <x v="3"/>
    <x v="3"/>
    <n v="4"/>
    <n v="0.05"/>
    <n v="988"/>
    <n v="148.19999999999999"/>
  </r>
  <r>
    <s v="ORD0418"/>
    <x v="179"/>
    <s v="Customer 063"/>
    <x v="6"/>
    <x v="3"/>
    <x v="2"/>
    <n v="4"/>
    <n v="0.05"/>
    <n v="684"/>
    <n v="123.12"/>
  </r>
  <r>
    <s v="ORD0048"/>
    <x v="180"/>
    <s v="Customer 019"/>
    <x v="3"/>
    <x v="2"/>
    <x v="1"/>
    <n v="1"/>
    <n v="0.05"/>
    <n v="11.4"/>
    <n v="3.19"/>
  </r>
  <r>
    <s v="ORD0284"/>
    <x v="180"/>
    <s v="Customer 098"/>
    <x v="3"/>
    <x v="2"/>
    <x v="3"/>
    <n v="2"/>
    <n v="0"/>
    <n v="24"/>
    <n v="6.72"/>
  </r>
  <r>
    <s v="ORD0448"/>
    <x v="181"/>
    <s v="Customer 022"/>
    <x v="5"/>
    <x v="2"/>
    <x v="0"/>
    <n v="6"/>
    <n v="0"/>
    <n v="48"/>
    <n v="14.4"/>
  </r>
  <r>
    <s v="ORD0278"/>
    <x v="181"/>
    <s v="Customer 058"/>
    <x v="3"/>
    <x v="2"/>
    <x v="0"/>
    <n v="5"/>
    <n v="0"/>
    <n v="60"/>
    <n v="16.8"/>
  </r>
  <r>
    <s v="ORD0156"/>
    <x v="182"/>
    <s v="Customer 042"/>
    <x v="0"/>
    <x v="0"/>
    <x v="1"/>
    <n v="8"/>
    <n v="0"/>
    <n v="440"/>
    <n v="96.8"/>
  </r>
  <r>
    <s v="ORD0294"/>
    <x v="182"/>
    <s v="Customer 092"/>
    <x v="8"/>
    <x v="1"/>
    <x v="3"/>
    <n v="1"/>
    <n v="0.05"/>
    <n v="42.75"/>
    <n v="8.5500000000000007"/>
  </r>
  <r>
    <s v="ORD0399"/>
    <x v="183"/>
    <s v="Customer 085"/>
    <x v="3"/>
    <x v="2"/>
    <x v="2"/>
    <n v="2"/>
    <n v="0"/>
    <n v="24"/>
    <n v="6.72"/>
  </r>
  <r>
    <s v="ORD0265"/>
    <x v="184"/>
    <s v="Customer 035"/>
    <x v="8"/>
    <x v="1"/>
    <x v="0"/>
    <n v="4"/>
    <n v="0.05"/>
    <n v="171"/>
    <n v="34.200000000000003"/>
  </r>
  <r>
    <s v="ORD0263"/>
    <x v="184"/>
    <s v="Customer 003"/>
    <x v="1"/>
    <x v="1"/>
    <x v="2"/>
    <n v="2"/>
    <n v="0.1"/>
    <n v="153"/>
    <n v="29.07"/>
  </r>
  <r>
    <s v="ORD0089"/>
    <x v="185"/>
    <s v="Customer 087"/>
    <x v="4"/>
    <x v="1"/>
    <x v="1"/>
    <n v="5"/>
    <n v="0"/>
    <n v="1100"/>
    <n v="154"/>
  </r>
  <r>
    <s v="ORD0429"/>
    <x v="185"/>
    <s v="Customer 060"/>
    <x v="2"/>
    <x v="1"/>
    <x v="2"/>
    <n v="2"/>
    <n v="0.05"/>
    <n v="1235"/>
    <n v="197.6"/>
  </r>
  <r>
    <s v="ORD0379"/>
    <x v="185"/>
    <s v="Customer 047"/>
    <x v="8"/>
    <x v="1"/>
    <x v="0"/>
    <n v="4"/>
    <n v="0"/>
    <n v="180"/>
    <n v="36"/>
  </r>
  <r>
    <s v="ORD0028"/>
    <x v="186"/>
    <s v="Customer 028"/>
    <x v="3"/>
    <x v="2"/>
    <x v="2"/>
    <n v="3"/>
    <n v="0.1"/>
    <n v="32.4"/>
    <n v="9.07"/>
  </r>
  <r>
    <s v="ORD0235"/>
    <x v="187"/>
    <s v="Customer 081"/>
    <x v="8"/>
    <x v="1"/>
    <x v="1"/>
    <n v="3"/>
    <n v="0"/>
    <n v="135"/>
    <n v="27"/>
  </r>
  <r>
    <s v="ORD0146"/>
    <x v="188"/>
    <s v="Customer 086"/>
    <x v="1"/>
    <x v="1"/>
    <x v="1"/>
    <n v="2"/>
    <n v="0"/>
    <n v="170"/>
    <n v="32.299999999999997"/>
  </r>
  <r>
    <s v="ORD0140"/>
    <x v="188"/>
    <s v="Customer 055"/>
    <x v="8"/>
    <x v="1"/>
    <x v="1"/>
    <n v="7"/>
    <n v="0.05"/>
    <n v="299.25"/>
    <n v="59.85"/>
  </r>
  <r>
    <s v="ORD0083"/>
    <x v="189"/>
    <s v="Customer 069"/>
    <x v="7"/>
    <x v="3"/>
    <x v="2"/>
    <n v="7"/>
    <n v="0.1"/>
    <n v="1638"/>
    <n v="245.7"/>
  </r>
  <r>
    <s v="ORD0131"/>
    <x v="189"/>
    <s v="Customer 054"/>
    <x v="3"/>
    <x v="2"/>
    <x v="2"/>
    <n v="2"/>
    <n v="0.05"/>
    <n v="22.8"/>
    <n v="6.38"/>
  </r>
  <r>
    <s v="ORD0084"/>
    <x v="189"/>
    <s v="Customer 058"/>
    <x v="6"/>
    <x v="3"/>
    <x v="1"/>
    <n v="7"/>
    <n v="0"/>
    <n v="1260"/>
    <n v="226.8"/>
  </r>
  <r>
    <s v="ORD0326"/>
    <x v="189"/>
    <s v="Customer 098"/>
    <x v="1"/>
    <x v="1"/>
    <x v="0"/>
    <n v="4"/>
    <n v="0"/>
    <n v="340"/>
    <n v="64.599999999999994"/>
  </r>
  <r>
    <s v="ORD0252"/>
    <x v="190"/>
    <s v="Customer 013"/>
    <x v="9"/>
    <x v="1"/>
    <x v="1"/>
    <n v="2"/>
    <n v="0"/>
    <n v="50"/>
    <n v="11.5"/>
  </r>
  <r>
    <s v="ORD0271"/>
    <x v="190"/>
    <s v="Customer 048"/>
    <x v="5"/>
    <x v="2"/>
    <x v="0"/>
    <n v="8"/>
    <n v="0"/>
    <n v="64"/>
    <n v="19.2"/>
  </r>
  <r>
    <s v="ORD0469"/>
    <x v="190"/>
    <s v="Customer 047"/>
    <x v="6"/>
    <x v="3"/>
    <x v="3"/>
    <n v="1"/>
    <n v="0.15"/>
    <n v="153"/>
    <n v="27.54"/>
  </r>
  <r>
    <s v="ORD0340"/>
    <x v="190"/>
    <s v="Customer 020"/>
    <x v="5"/>
    <x v="2"/>
    <x v="0"/>
    <n v="4"/>
    <n v="0"/>
    <n v="32"/>
    <n v="9.6"/>
  </r>
  <r>
    <s v="ORD0042"/>
    <x v="191"/>
    <s v="Customer 036"/>
    <x v="8"/>
    <x v="1"/>
    <x v="1"/>
    <n v="4"/>
    <n v="0"/>
    <n v="180"/>
    <n v="36"/>
  </r>
  <r>
    <s v="ORD0103"/>
    <x v="192"/>
    <s v="Customer 007"/>
    <x v="1"/>
    <x v="1"/>
    <x v="2"/>
    <n v="2"/>
    <n v="0"/>
    <n v="170"/>
    <n v="32.299999999999997"/>
  </r>
  <r>
    <s v="ORD0061"/>
    <x v="192"/>
    <s v="Customer 032"/>
    <x v="6"/>
    <x v="3"/>
    <x v="0"/>
    <n v="7"/>
    <n v="0.1"/>
    <n v="1134"/>
    <n v="204.12"/>
  </r>
  <r>
    <s v="ORD0464"/>
    <x v="193"/>
    <s v="Customer 034"/>
    <x v="9"/>
    <x v="1"/>
    <x v="3"/>
    <n v="7"/>
    <n v="0.05"/>
    <n v="166.25"/>
    <n v="38.24"/>
  </r>
  <r>
    <s v="ORD0047"/>
    <x v="193"/>
    <s v="Customer 069"/>
    <x v="2"/>
    <x v="1"/>
    <x v="3"/>
    <n v="8"/>
    <n v="0.1"/>
    <n v="4680"/>
    <n v="748.8"/>
  </r>
  <r>
    <s v="ORD0024"/>
    <x v="194"/>
    <s v="Customer 027"/>
    <x v="7"/>
    <x v="3"/>
    <x v="2"/>
    <n v="2"/>
    <n v="0"/>
    <n v="520"/>
    <n v="78"/>
  </r>
  <r>
    <s v="ORD0211"/>
    <x v="194"/>
    <s v="Customer 072"/>
    <x v="8"/>
    <x v="1"/>
    <x v="0"/>
    <n v="8"/>
    <n v="0"/>
    <n v="360"/>
    <n v="72"/>
  </r>
  <r>
    <s v="ORD0193"/>
    <x v="195"/>
    <s v="Customer 021"/>
    <x v="5"/>
    <x v="2"/>
    <x v="2"/>
    <n v="3"/>
    <n v="0"/>
    <n v="24"/>
    <n v="7.2"/>
  </r>
  <r>
    <s v="ORD0296"/>
    <x v="195"/>
    <s v="Customer 038"/>
    <x v="8"/>
    <x v="1"/>
    <x v="2"/>
    <n v="3"/>
    <n v="0"/>
    <n v="135"/>
    <n v="27"/>
  </r>
  <r>
    <s v="ORD0280"/>
    <x v="196"/>
    <s v="Customer 077"/>
    <x v="4"/>
    <x v="1"/>
    <x v="2"/>
    <n v="4"/>
    <n v="0"/>
    <n v="880"/>
    <n v="123.2"/>
  </r>
  <r>
    <s v="ORD0382"/>
    <x v="196"/>
    <s v="Customer 035"/>
    <x v="1"/>
    <x v="1"/>
    <x v="3"/>
    <n v="6"/>
    <n v="0.05"/>
    <n v="484.5"/>
    <n v="92.06"/>
  </r>
  <r>
    <s v="ORD0167"/>
    <x v="197"/>
    <s v="Customer 006"/>
    <x v="6"/>
    <x v="3"/>
    <x v="0"/>
    <n v="5"/>
    <n v="0"/>
    <n v="900"/>
    <n v="162"/>
  </r>
  <r>
    <s v="ORD0127"/>
    <x v="197"/>
    <s v="Customer 023"/>
    <x v="7"/>
    <x v="3"/>
    <x v="0"/>
    <n v="6"/>
    <n v="0.05"/>
    <n v="1482"/>
    <n v="222.3"/>
  </r>
  <r>
    <s v="ORD0436"/>
    <x v="198"/>
    <s v="Customer 096"/>
    <x v="9"/>
    <x v="1"/>
    <x v="2"/>
    <n v="5"/>
    <n v="0"/>
    <n v="125"/>
    <n v="28.75"/>
  </r>
  <r>
    <s v="ORD0270"/>
    <x v="198"/>
    <s v="Customer 059"/>
    <x v="0"/>
    <x v="0"/>
    <x v="1"/>
    <n v="1"/>
    <n v="0"/>
    <n v="55"/>
    <n v="12.1"/>
  </r>
  <r>
    <s v="ORD0327"/>
    <x v="199"/>
    <s v="Customer 042"/>
    <x v="4"/>
    <x v="1"/>
    <x v="1"/>
    <n v="7"/>
    <n v="0.15"/>
    <n v="1309"/>
    <n v="183.26"/>
  </r>
  <r>
    <s v="ORD0313"/>
    <x v="199"/>
    <s v="Customer 095"/>
    <x v="5"/>
    <x v="2"/>
    <x v="0"/>
    <n v="1"/>
    <n v="0"/>
    <n v="8"/>
    <n v="2.4"/>
  </r>
  <r>
    <s v="ORD0072"/>
    <x v="200"/>
    <s v="Customer 060"/>
    <x v="7"/>
    <x v="3"/>
    <x v="0"/>
    <n v="1"/>
    <n v="0"/>
    <n v="260"/>
    <n v="39"/>
  </r>
  <r>
    <s v="ORD0430"/>
    <x v="200"/>
    <s v="Customer 086"/>
    <x v="3"/>
    <x v="2"/>
    <x v="1"/>
    <n v="2"/>
    <n v="0.05"/>
    <n v="22.8"/>
    <n v="6.38"/>
  </r>
  <r>
    <s v="ORD0056"/>
    <x v="200"/>
    <s v="Customer 027"/>
    <x v="8"/>
    <x v="1"/>
    <x v="1"/>
    <n v="6"/>
    <n v="0.05"/>
    <n v="256.5"/>
    <n v="51.3"/>
  </r>
  <r>
    <s v="ORD0314"/>
    <x v="200"/>
    <s v="Customer 050"/>
    <x v="4"/>
    <x v="1"/>
    <x v="3"/>
    <n v="4"/>
    <n v="0.05"/>
    <n v="836"/>
    <n v="117.04"/>
  </r>
  <r>
    <s v="ORD0241"/>
    <x v="200"/>
    <s v="Customer 021"/>
    <x v="0"/>
    <x v="0"/>
    <x v="1"/>
    <n v="3"/>
    <n v="0.05"/>
    <n v="156.75"/>
    <n v="34.479999999999997"/>
  </r>
  <r>
    <s v="ORD0413"/>
    <x v="201"/>
    <s v="Customer 002"/>
    <x v="8"/>
    <x v="1"/>
    <x v="0"/>
    <n v="2"/>
    <n v="0"/>
    <n v="90"/>
    <n v="18"/>
  </r>
  <r>
    <s v="ORD0306"/>
    <x v="202"/>
    <s v="Customer 051"/>
    <x v="5"/>
    <x v="2"/>
    <x v="2"/>
    <n v="1"/>
    <n v="0"/>
    <n v="8"/>
    <n v="2.4"/>
  </r>
  <r>
    <s v="ORD0446"/>
    <x v="203"/>
    <s v="Customer 047"/>
    <x v="3"/>
    <x v="2"/>
    <x v="0"/>
    <n v="7"/>
    <n v="0"/>
    <n v="84"/>
    <n v="23.52"/>
  </r>
  <r>
    <s v="ORD0441"/>
    <x v="204"/>
    <s v="Customer 032"/>
    <x v="0"/>
    <x v="0"/>
    <x v="0"/>
    <n v="2"/>
    <n v="0.05"/>
    <n v="104.5"/>
    <n v="22.99"/>
  </r>
  <r>
    <s v="ORD0498"/>
    <x v="205"/>
    <s v="Customer 040"/>
    <x v="6"/>
    <x v="3"/>
    <x v="1"/>
    <n v="4"/>
    <n v="0.15"/>
    <n v="612"/>
    <n v="110.16"/>
  </r>
  <r>
    <s v="ORD0288"/>
    <x v="205"/>
    <s v="Customer 047"/>
    <x v="4"/>
    <x v="1"/>
    <x v="3"/>
    <n v="2"/>
    <n v="0.15"/>
    <n v="374"/>
    <n v="52.36"/>
  </r>
  <r>
    <s v="ORD0014"/>
    <x v="205"/>
    <s v="Customer 048"/>
    <x v="9"/>
    <x v="1"/>
    <x v="1"/>
    <n v="6"/>
    <n v="0"/>
    <n v="150"/>
    <n v="34.5"/>
  </r>
  <r>
    <s v="ORD0292"/>
    <x v="206"/>
    <s v="Customer 029"/>
    <x v="1"/>
    <x v="1"/>
    <x v="1"/>
    <n v="7"/>
    <n v="0.05"/>
    <n v="565.25"/>
    <n v="107.4"/>
  </r>
  <r>
    <s v="ORD0096"/>
    <x v="207"/>
    <s v="Customer 062"/>
    <x v="1"/>
    <x v="1"/>
    <x v="0"/>
    <n v="6"/>
    <n v="0"/>
    <n v="510"/>
    <n v="96.9"/>
  </r>
  <r>
    <s v="ORD0417"/>
    <x v="207"/>
    <s v="Customer 052"/>
    <x v="3"/>
    <x v="2"/>
    <x v="0"/>
    <n v="8"/>
    <n v="0"/>
    <n v="96"/>
    <n v="26.88"/>
  </r>
  <r>
    <s v="ORD0165"/>
    <x v="208"/>
    <s v="Customer 097"/>
    <x v="5"/>
    <x v="2"/>
    <x v="3"/>
    <n v="4"/>
    <n v="0.05"/>
    <n v="30.4"/>
    <n v="9.1199999999999992"/>
  </r>
  <r>
    <s v="ORD0107"/>
    <x v="208"/>
    <s v="Customer 054"/>
    <x v="5"/>
    <x v="2"/>
    <x v="0"/>
    <n v="4"/>
    <n v="0.05"/>
    <n v="30.4"/>
    <n v="9.1199999999999992"/>
  </r>
  <r>
    <s v="ORD0406"/>
    <x v="209"/>
    <s v="Customer 010"/>
    <x v="4"/>
    <x v="1"/>
    <x v="2"/>
    <n v="6"/>
    <n v="0.1"/>
    <n v="1188"/>
    <n v="166.32"/>
  </r>
  <r>
    <s v="ORD0092"/>
    <x v="210"/>
    <s v="Customer 036"/>
    <x v="6"/>
    <x v="3"/>
    <x v="0"/>
    <n v="1"/>
    <n v="0"/>
    <n v="180"/>
    <n v="32.4"/>
  </r>
  <r>
    <s v="ORD0304"/>
    <x v="210"/>
    <s v="Customer 094"/>
    <x v="2"/>
    <x v="1"/>
    <x v="2"/>
    <n v="8"/>
    <n v="0"/>
    <n v="5200"/>
    <n v="832"/>
  </r>
  <r>
    <s v="ORD0143"/>
    <x v="210"/>
    <s v="Customer 082"/>
    <x v="9"/>
    <x v="1"/>
    <x v="0"/>
    <n v="3"/>
    <n v="0"/>
    <n v="75"/>
    <n v="17.25"/>
  </r>
  <r>
    <s v="ORD0285"/>
    <x v="211"/>
    <s v="Customer 020"/>
    <x v="7"/>
    <x v="3"/>
    <x v="3"/>
    <n v="5"/>
    <n v="0.05"/>
    <n v="1235"/>
    <n v="185.25"/>
  </r>
  <r>
    <s v="ORD0357"/>
    <x v="212"/>
    <s v="Customer 075"/>
    <x v="4"/>
    <x v="1"/>
    <x v="1"/>
    <n v="5"/>
    <n v="0"/>
    <n v="1100"/>
    <n v="154"/>
  </r>
  <r>
    <s v="ORD0297"/>
    <x v="213"/>
    <s v="Customer 012"/>
    <x v="8"/>
    <x v="1"/>
    <x v="3"/>
    <n v="8"/>
    <n v="0.05"/>
    <n v="342"/>
    <n v="68.400000000000006"/>
  </r>
  <r>
    <s v="ORD0157"/>
    <x v="214"/>
    <s v="Customer 098"/>
    <x v="5"/>
    <x v="2"/>
    <x v="3"/>
    <n v="4"/>
    <n v="0"/>
    <n v="32"/>
    <n v="9.6"/>
  </r>
  <r>
    <s v="ORD0244"/>
    <x v="214"/>
    <s v="Customer 086"/>
    <x v="3"/>
    <x v="2"/>
    <x v="0"/>
    <n v="1"/>
    <n v="0.1"/>
    <n v="10.8"/>
    <n v="3.02"/>
  </r>
  <r>
    <s v="ORD0425"/>
    <x v="214"/>
    <s v="Customer 068"/>
    <x v="3"/>
    <x v="2"/>
    <x v="2"/>
    <n v="5"/>
    <n v="0.1"/>
    <n v="54"/>
    <n v="15.12"/>
  </r>
  <r>
    <s v="ORD0031"/>
    <x v="215"/>
    <s v="Customer 077"/>
    <x v="2"/>
    <x v="1"/>
    <x v="2"/>
    <n v="1"/>
    <n v="0.1"/>
    <n v="585"/>
    <n v="93.6"/>
  </r>
  <r>
    <s v="ORD0104"/>
    <x v="215"/>
    <s v="Customer 066"/>
    <x v="0"/>
    <x v="0"/>
    <x v="2"/>
    <n v="2"/>
    <n v="0"/>
    <n v="110"/>
    <n v="24.2"/>
  </r>
  <r>
    <s v="ORD0205"/>
    <x v="216"/>
    <s v="Customer 040"/>
    <x v="2"/>
    <x v="1"/>
    <x v="3"/>
    <n v="5"/>
    <n v="0.05"/>
    <n v="3087.5"/>
    <n v="494"/>
  </r>
  <r>
    <s v="ORD0352"/>
    <x v="217"/>
    <s v="Customer 014"/>
    <x v="2"/>
    <x v="1"/>
    <x v="3"/>
    <n v="3"/>
    <n v="0"/>
    <n v="1950"/>
    <n v="312"/>
  </r>
  <r>
    <s v="ORD0069"/>
    <x v="218"/>
    <s v="Customer 063"/>
    <x v="4"/>
    <x v="1"/>
    <x v="1"/>
    <n v="2"/>
    <n v="0"/>
    <n v="440"/>
    <n v="61.6"/>
  </r>
  <r>
    <s v="ORD0130"/>
    <x v="218"/>
    <s v="Customer 092"/>
    <x v="2"/>
    <x v="1"/>
    <x v="2"/>
    <n v="8"/>
    <n v="0"/>
    <n v="5200"/>
    <n v="832"/>
  </r>
  <r>
    <s v="ORD0385"/>
    <x v="218"/>
    <s v="Customer 036"/>
    <x v="5"/>
    <x v="2"/>
    <x v="1"/>
    <n v="2"/>
    <n v="0"/>
    <n v="16"/>
    <n v="4.8"/>
  </r>
  <r>
    <s v="ORD0158"/>
    <x v="219"/>
    <s v="Customer 022"/>
    <x v="5"/>
    <x v="2"/>
    <x v="0"/>
    <n v="5"/>
    <n v="0"/>
    <n v="40"/>
    <n v="12"/>
  </r>
  <r>
    <s v="ORD0234"/>
    <x v="219"/>
    <s v="Customer 036"/>
    <x v="7"/>
    <x v="3"/>
    <x v="2"/>
    <n v="8"/>
    <n v="0"/>
    <n v="2080"/>
    <n v="312"/>
  </r>
  <r>
    <s v="ORD0182"/>
    <x v="219"/>
    <s v="Customer 068"/>
    <x v="7"/>
    <x v="3"/>
    <x v="2"/>
    <n v="3"/>
    <n v="0.05"/>
    <n v="741"/>
    <n v="111.15"/>
  </r>
  <r>
    <s v="ORD0238"/>
    <x v="220"/>
    <s v="Customer 044"/>
    <x v="1"/>
    <x v="1"/>
    <x v="1"/>
    <n v="7"/>
    <n v="0.15"/>
    <n v="505.75"/>
    <n v="96.09"/>
  </r>
  <r>
    <s v="ORD0391"/>
    <x v="220"/>
    <s v="Customer 087"/>
    <x v="5"/>
    <x v="2"/>
    <x v="2"/>
    <n v="1"/>
    <n v="0"/>
    <n v="8"/>
    <n v="2.4"/>
  </r>
  <r>
    <s v="ORD0231"/>
    <x v="221"/>
    <s v="Customer 026"/>
    <x v="8"/>
    <x v="1"/>
    <x v="1"/>
    <n v="5"/>
    <n v="0"/>
    <n v="225"/>
    <n v="45"/>
  </r>
  <r>
    <s v="ORD0147"/>
    <x v="221"/>
    <s v="Customer 008"/>
    <x v="2"/>
    <x v="1"/>
    <x v="0"/>
    <n v="2"/>
    <n v="0.05"/>
    <n v="1235"/>
    <n v="197.6"/>
  </r>
  <r>
    <s v="ORD0191"/>
    <x v="222"/>
    <s v="Customer 092"/>
    <x v="7"/>
    <x v="3"/>
    <x v="3"/>
    <n v="8"/>
    <n v="0"/>
    <n v="2080"/>
    <n v="312"/>
  </r>
  <r>
    <s v="ORD0257"/>
    <x v="222"/>
    <s v="Customer 048"/>
    <x v="4"/>
    <x v="1"/>
    <x v="0"/>
    <n v="6"/>
    <n v="0"/>
    <n v="1320"/>
    <n v="184.8"/>
  </r>
  <r>
    <s v="ORD0341"/>
    <x v="222"/>
    <s v="Customer 026"/>
    <x v="4"/>
    <x v="1"/>
    <x v="3"/>
    <n v="1"/>
    <n v="0"/>
    <n v="220"/>
    <n v="30.8"/>
  </r>
  <r>
    <s v="ORD0004"/>
    <x v="223"/>
    <s v="Customer 064"/>
    <x v="0"/>
    <x v="0"/>
    <x v="2"/>
    <n v="4"/>
    <n v="0.15"/>
    <n v="187"/>
    <n v="41.14"/>
  </r>
  <r>
    <s v="ORD0151"/>
    <x v="223"/>
    <s v="Customer 015"/>
    <x v="4"/>
    <x v="1"/>
    <x v="1"/>
    <n v="2"/>
    <n v="0"/>
    <n v="440"/>
    <n v="61.6"/>
  </r>
  <r>
    <s v="ORD0176"/>
    <x v="224"/>
    <s v="Customer 014"/>
    <x v="0"/>
    <x v="0"/>
    <x v="3"/>
    <n v="8"/>
    <n v="0.1"/>
    <n v="396"/>
    <n v="87.12"/>
  </r>
  <r>
    <s v="ORD0035"/>
    <x v="224"/>
    <s v="Customer 003"/>
    <x v="6"/>
    <x v="3"/>
    <x v="2"/>
    <n v="4"/>
    <n v="0"/>
    <n v="720"/>
    <n v="129.6"/>
  </r>
  <r>
    <s v="ORD0344"/>
    <x v="225"/>
    <s v="Customer 098"/>
    <x v="0"/>
    <x v="0"/>
    <x v="2"/>
    <n v="3"/>
    <n v="0"/>
    <n v="165"/>
    <n v="36.299999999999997"/>
  </r>
  <r>
    <s v="ORD0065"/>
    <x v="225"/>
    <s v="Customer 048"/>
    <x v="0"/>
    <x v="0"/>
    <x v="2"/>
    <n v="1"/>
    <n v="0.05"/>
    <n v="52.25"/>
    <n v="11.5"/>
  </r>
  <r>
    <s v="ORD0392"/>
    <x v="226"/>
    <s v="Customer 036"/>
    <x v="0"/>
    <x v="0"/>
    <x v="2"/>
    <n v="6"/>
    <n v="0.15"/>
    <n v="280.5"/>
    <n v="61.71"/>
  </r>
  <r>
    <s v="ORD0447"/>
    <x v="227"/>
    <s v="Customer 007"/>
    <x v="7"/>
    <x v="3"/>
    <x v="3"/>
    <n v="6"/>
    <n v="0"/>
    <n v="1560"/>
    <n v="234"/>
  </r>
  <r>
    <s v="ORD0365"/>
    <x v="227"/>
    <s v="Customer 043"/>
    <x v="3"/>
    <x v="2"/>
    <x v="2"/>
    <n v="6"/>
    <n v="0"/>
    <n v="72"/>
    <n v="20.16"/>
  </r>
  <r>
    <s v="ORD0148"/>
    <x v="228"/>
    <s v="Customer 056"/>
    <x v="6"/>
    <x v="3"/>
    <x v="1"/>
    <n v="7"/>
    <n v="0"/>
    <n v="1260"/>
    <n v="226.8"/>
  </r>
  <r>
    <s v="ORD0217"/>
    <x v="228"/>
    <s v="Customer 020"/>
    <x v="4"/>
    <x v="1"/>
    <x v="0"/>
    <n v="2"/>
    <n v="0"/>
    <n v="440"/>
    <n v="61.6"/>
  </r>
  <r>
    <s v="ORD0364"/>
    <x v="229"/>
    <s v="Customer 079"/>
    <x v="7"/>
    <x v="3"/>
    <x v="0"/>
    <n v="2"/>
    <n v="0"/>
    <n v="520"/>
    <n v="78"/>
  </r>
  <r>
    <s v="ORD0488"/>
    <x v="230"/>
    <s v="Customer 089"/>
    <x v="7"/>
    <x v="3"/>
    <x v="1"/>
    <n v="8"/>
    <n v="0.1"/>
    <n v="1872"/>
    <n v="280.8"/>
  </r>
  <r>
    <s v="ORD0258"/>
    <x v="230"/>
    <s v="Customer 088"/>
    <x v="1"/>
    <x v="1"/>
    <x v="0"/>
    <n v="7"/>
    <n v="0"/>
    <n v="595"/>
    <n v="113.05"/>
  </r>
  <r>
    <s v="ORD0360"/>
    <x v="230"/>
    <s v="Customer 035"/>
    <x v="1"/>
    <x v="1"/>
    <x v="3"/>
    <n v="1"/>
    <n v="0"/>
    <n v="85"/>
    <n v="16.149999999999999"/>
  </r>
  <r>
    <s v="ORD0312"/>
    <x v="230"/>
    <s v="Customer 075"/>
    <x v="3"/>
    <x v="2"/>
    <x v="3"/>
    <n v="4"/>
    <n v="0"/>
    <n v="48"/>
    <n v="13.44"/>
  </r>
  <r>
    <s v="ORD0135"/>
    <x v="231"/>
    <s v="Customer 082"/>
    <x v="4"/>
    <x v="1"/>
    <x v="2"/>
    <n v="6"/>
    <n v="0"/>
    <n v="1320"/>
    <n v="184.8"/>
  </r>
  <r>
    <s v="ORD0136"/>
    <x v="232"/>
    <s v="Customer 038"/>
    <x v="8"/>
    <x v="1"/>
    <x v="0"/>
    <n v="7"/>
    <n v="0"/>
    <n v="315"/>
    <n v="63"/>
  </r>
  <r>
    <s v="ORD0074"/>
    <x v="232"/>
    <s v="Customer 013"/>
    <x v="8"/>
    <x v="1"/>
    <x v="3"/>
    <n v="7"/>
    <n v="0.15"/>
    <n v="267.75"/>
    <n v="53.55"/>
  </r>
  <r>
    <s v="ORD0178"/>
    <x v="233"/>
    <s v="Customer 051"/>
    <x v="2"/>
    <x v="1"/>
    <x v="3"/>
    <n v="1"/>
    <n v="0"/>
    <n v="650"/>
    <n v="104"/>
  </r>
  <r>
    <s v="ORD0407"/>
    <x v="234"/>
    <s v="Customer 036"/>
    <x v="1"/>
    <x v="1"/>
    <x v="0"/>
    <n v="5"/>
    <n v="0.05"/>
    <n v="403.75"/>
    <n v="76.709999999999994"/>
  </r>
  <r>
    <s v="ORD0461"/>
    <x v="234"/>
    <s v="Customer 021"/>
    <x v="5"/>
    <x v="2"/>
    <x v="3"/>
    <n v="5"/>
    <n v="0"/>
    <n v="40"/>
    <n v="12"/>
  </r>
  <r>
    <s v="ORD0052"/>
    <x v="234"/>
    <s v="Customer 080"/>
    <x v="4"/>
    <x v="1"/>
    <x v="1"/>
    <n v="2"/>
    <n v="0.15"/>
    <n v="374"/>
    <n v="52.36"/>
  </r>
  <r>
    <s v="ORD0401"/>
    <x v="235"/>
    <s v="Customer 035"/>
    <x v="9"/>
    <x v="1"/>
    <x v="2"/>
    <n v="4"/>
    <n v="0.05"/>
    <n v="95"/>
    <n v="21.85"/>
  </r>
  <r>
    <s v="ORD0349"/>
    <x v="235"/>
    <s v="Customer 090"/>
    <x v="4"/>
    <x v="1"/>
    <x v="1"/>
    <n v="1"/>
    <n v="0"/>
    <n v="220"/>
    <n v="30.8"/>
  </r>
  <r>
    <s v="ORD0126"/>
    <x v="235"/>
    <s v="Customer 092"/>
    <x v="7"/>
    <x v="3"/>
    <x v="2"/>
    <n v="8"/>
    <n v="0.1"/>
    <n v="1872"/>
    <n v="280.8"/>
  </r>
  <r>
    <s v="ORD0459"/>
    <x v="236"/>
    <s v="Customer 058"/>
    <x v="3"/>
    <x v="2"/>
    <x v="1"/>
    <n v="6"/>
    <n v="0"/>
    <n v="72"/>
    <n v="20.16"/>
  </r>
  <r>
    <s v="ORD0372"/>
    <x v="236"/>
    <s v="Customer 042"/>
    <x v="3"/>
    <x v="2"/>
    <x v="0"/>
    <n v="7"/>
    <n v="0"/>
    <n v="84"/>
    <n v="23.52"/>
  </r>
  <r>
    <s v="ORD0321"/>
    <x v="236"/>
    <s v="Customer 059"/>
    <x v="7"/>
    <x v="3"/>
    <x v="0"/>
    <n v="8"/>
    <n v="0.05"/>
    <n v="1976"/>
    <n v="296.39999999999998"/>
  </r>
  <r>
    <s v="ORD0111"/>
    <x v="236"/>
    <s v="Customer 038"/>
    <x v="1"/>
    <x v="1"/>
    <x v="0"/>
    <n v="7"/>
    <n v="0"/>
    <n v="595"/>
    <n v="113.05"/>
  </r>
  <r>
    <s v="ORD0122"/>
    <x v="236"/>
    <s v="Customer 005"/>
    <x v="4"/>
    <x v="1"/>
    <x v="2"/>
    <n v="2"/>
    <n v="0"/>
    <n v="440"/>
    <n v="61.6"/>
  </r>
  <r>
    <s v="ORD0196"/>
    <x v="237"/>
    <s v="Customer 026"/>
    <x v="9"/>
    <x v="1"/>
    <x v="0"/>
    <n v="4"/>
    <n v="0"/>
    <n v="100"/>
    <n v="23"/>
  </r>
  <r>
    <s v="ORD0478"/>
    <x v="237"/>
    <s v="Customer 070"/>
    <x v="2"/>
    <x v="1"/>
    <x v="3"/>
    <n v="8"/>
    <n v="0"/>
    <n v="5200"/>
    <n v="832"/>
  </r>
  <r>
    <s v="ORD0194"/>
    <x v="237"/>
    <s v="Customer 063"/>
    <x v="6"/>
    <x v="3"/>
    <x v="0"/>
    <n v="6"/>
    <n v="0"/>
    <n v="1080"/>
    <n v="194.4"/>
  </r>
  <r>
    <s v="ORD0067"/>
    <x v="237"/>
    <s v="Customer 045"/>
    <x v="9"/>
    <x v="1"/>
    <x v="3"/>
    <n v="7"/>
    <n v="0"/>
    <n v="175"/>
    <n v="40.25"/>
  </r>
  <r>
    <s v="ORD0005"/>
    <x v="238"/>
    <s v="Customer 089"/>
    <x v="2"/>
    <x v="1"/>
    <x v="2"/>
    <n v="4"/>
    <n v="0"/>
    <n v="2600"/>
    <n v="416"/>
  </r>
  <r>
    <s v="ORD0091"/>
    <x v="238"/>
    <s v="Customer 075"/>
    <x v="3"/>
    <x v="2"/>
    <x v="0"/>
    <n v="4"/>
    <n v="0.1"/>
    <n v="43.2"/>
    <n v="12.1"/>
  </r>
  <r>
    <s v="ORD0316"/>
    <x v="238"/>
    <s v="Customer 026"/>
    <x v="6"/>
    <x v="3"/>
    <x v="2"/>
    <n v="6"/>
    <n v="0"/>
    <n v="1080"/>
    <n v="194.4"/>
  </r>
  <r>
    <s v="ORD0300"/>
    <x v="239"/>
    <s v="Customer 003"/>
    <x v="7"/>
    <x v="3"/>
    <x v="2"/>
    <n v="8"/>
    <n v="0"/>
    <n v="2080"/>
    <n v="312"/>
  </r>
  <r>
    <s v="ORD0272"/>
    <x v="239"/>
    <s v="Customer 077"/>
    <x v="5"/>
    <x v="2"/>
    <x v="3"/>
    <n v="5"/>
    <n v="0.1"/>
    <n v="36"/>
    <n v="10.8"/>
  </r>
  <r>
    <s v="ORD0009"/>
    <x v="239"/>
    <s v="Customer 009"/>
    <x v="6"/>
    <x v="3"/>
    <x v="2"/>
    <n v="1"/>
    <n v="0"/>
    <n v="180"/>
    <n v="32.4"/>
  </r>
  <r>
    <s v="ORD0411"/>
    <x v="239"/>
    <s v="Customer 006"/>
    <x v="6"/>
    <x v="3"/>
    <x v="1"/>
    <n v="2"/>
    <n v="0"/>
    <n v="360"/>
    <n v="64.8"/>
  </r>
  <r>
    <s v="ORD0057"/>
    <x v="240"/>
    <s v="Customer 019"/>
    <x v="2"/>
    <x v="1"/>
    <x v="3"/>
    <n v="4"/>
    <n v="0.05"/>
    <n v="2470"/>
    <n v="395.2"/>
  </r>
  <r>
    <s v="ORD0260"/>
    <x v="241"/>
    <s v="Customer 088"/>
    <x v="3"/>
    <x v="2"/>
    <x v="2"/>
    <n v="8"/>
    <n v="0"/>
    <n v="96"/>
    <n v="26.88"/>
  </r>
  <r>
    <s v="ORD0172"/>
    <x v="242"/>
    <s v="Customer 060"/>
    <x v="2"/>
    <x v="1"/>
    <x v="2"/>
    <n v="8"/>
    <n v="0.1"/>
    <n v="4680"/>
    <n v="748.8"/>
  </r>
  <r>
    <s v="ORD0169"/>
    <x v="243"/>
    <s v="Customer 073"/>
    <x v="4"/>
    <x v="1"/>
    <x v="1"/>
    <n v="4"/>
    <n v="0.05"/>
    <n v="836"/>
    <n v="117.04"/>
  </r>
  <r>
    <s v="ORD0274"/>
    <x v="244"/>
    <s v="Customer 040"/>
    <x v="8"/>
    <x v="1"/>
    <x v="3"/>
    <n v="2"/>
    <n v="0.05"/>
    <n v="85.5"/>
    <n v="17.100000000000001"/>
  </r>
  <r>
    <s v="ORD0088"/>
    <x v="244"/>
    <s v="Customer 033"/>
    <x v="7"/>
    <x v="3"/>
    <x v="0"/>
    <n v="4"/>
    <n v="0.05"/>
    <n v="988"/>
    <n v="148.19999999999999"/>
  </r>
  <r>
    <s v="ORD0367"/>
    <x v="245"/>
    <s v="Customer 013"/>
    <x v="8"/>
    <x v="1"/>
    <x v="0"/>
    <n v="7"/>
    <n v="0"/>
    <n v="315"/>
    <n v="63"/>
  </r>
  <r>
    <s v="ORD0472"/>
    <x v="246"/>
    <s v="Customer 061"/>
    <x v="9"/>
    <x v="1"/>
    <x v="0"/>
    <n v="8"/>
    <n v="0.15"/>
    <n v="170"/>
    <n v="39.1"/>
  </r>
  <r>
    <s v="ORD0144"/>
    <x v="247"/>
    <s v="Customer 005"/>
    <x v="5"/>
    <x v="2"/>
    <x v="0"/>
    <n v="5"/>
    <n v="0"/>
    <n v="40"/>
    <n v="12"/>
  </r>
  <r>
    <s v="ORD0390"/>
    <x v="247"/>
    <s v="Customer 087"/>
    <x v="8"/>
    <x v="1"/>
    <x v="2"/>
    <n v="6"/>
    <n v="0"/>
    <n v="270"/>
    <n v="54"/>
  </r>
  <r>
    <s v="ORD0203"/>
    <x v="248"/>
    <s v="Customer 096"/>
    <x v="0"/>
    <x v="0"/>
    <x v="0"/>
    <n v="1"/>
    <n v="0"/>
    <n v="55"/>
    <n v="12.1"/>
  </r>
  <r>
    <s v="ORD0106"/>
    <x v="248"/>
    <s v="Customer 045"/>
    <x v="2"/>
    <x v="1"/>
    <x v="0"/>
    <n v="7"/>
    <n v="0.05"/>
    <n v="4322.5"/>
    <n v="691.6"/>
  </r>
  <r>
    <s v="ORD0351"/>
    <x v="249"/>
    <s v="Customer 046"/>
    <x v="2"/>
    <x v="1"/>
    <x v="0"/>
    <n v="4"/>
    <n v="0.1"/>
    <n v="2340"/>
    <n v="374.4"/>
  </r>
  <r>
    <s v="ORD0138"/>
    <x v="250"/>
    <s v="Customer 084"/>
    <x v="9"/>
    <x v="1"/>
    <x v="0"/>
    <n v="8"/>
    <n v="0"/>
    <n v="200"/>
    <n v="46"/>
  </r>
  <r>
    <s v="ORD0400"/>
    <x v="251"/>
    <s v="Customer 052"/>
    <x v="1"/>
    <x v="1"/>
    <x v="1"/>
    <n v="1"/>
    <n v="0"/>
    <n v="85"/>
    <n v="16.149999999999999"/>
  </r>
  <r>
    <s v="ORD0030"/>
    <x v="251"/>
    <s v="Customer 092"/>
    <x v="6"/>
    <x v="3"/>
    <x v="3"/>
    <n v="6"/>
    <n v="0"/>
    <n v="1080"/>
    <n v="194.4"/>
  </r>
  <r>
    <s v="ORD0323"/>
    <x v="252"/>
    <s v="Customer 094"/>
    <x v="2"/>
    <x v="1"/>
    <x v="0"/>
    <n v="7"/>
    <n v="0.15"/>
    <n v="3867.5"/>
    <n v="618.79999999999995"/>
  </r>
  <r>
    <s v="ORD0408"/>
    <x v="253"/>
    <s v="Customer 052"/>
    <x v="2"/>
    <x v="1"/>
    <x v="2"/>
    <n v="6"/>
    <n v="0"/>
    <n v="3900"/>
    <n v="624"/>
  </r>
  <r>
    <s v="ORD0366"/>
    <x v="253"/>
    <s v="Customer 015"/>
    <x v="3"/>
    <x v="2"/>
    <x v="1"/>
    <n v="3"/>
    <n v="0"/>
    <n v="36"/>
    <n v="10.08"/>
  </r>
  <r>
    <s v="ORD0423"/>
    <x v="254"/>
    <s v="Customer 045"/>
    <x v="7"/>
    <x v="3"/>
    <x v="0"/>
    <n v="5"/>
    <n v="0"/>
    <n v="1300"/>
    <n v="195"/>
  </r>
  <r>
    <s v="ORD0105"/>
    <x v="255"/>
    <s v="Customer 065"/>
    <x v="7"/>
    <x v="3"/>
    <x v="3"/>
    <n v="6"/>
    <n v="0.1"/>
    <n v="1404"/>
    <n v="210.6"/>
  </r>
  <r>
    <s v="ORD0082"/>
    <x v="256"/>
    <s v="Customer 100"/>
    <x v="9"/>
    <x v="1"/>
    <x v="1"/>
    <n v="2"/>
    <n v="0"/>
    <n v="50"/>
    <n v="11.5"/>
  </r>
  <r>
    <s v="ORD0220"/>
    <x v="257"/>
    <s v="Customer 024"/>
    <x v="8"/>
    <x v="1"/>
    <x v="3"/>
    <n v="4"/>
    <n v="0"/>
    <n v="180"/>
    <n v="36"/>
  </r>
  <r>
    <s v="ORD0431"/>
    <x v="258"/>
    <s v="Customer 045"/>
    <x v="2"/>
    <x v="1"/>
    <x v="3"/>
    <n v="4"/>
    <n v="0"/>
    <n v="2600"/>
    <n v="416"/>
  </r>
  <r>
    <s v="ORD0076"/>
    <x v="259"/>
    <s v="Customer 090"/>
    <x v="9"/>
    <x v="1"/>
    <x v="0"/>
    <n v="7"/>
    <n v="0.15"/>
    <n v="148.75"/>
    <n v="34.21"/>
  </r>
  <r>
    <s v="ORD0198"/>
    <x v="260"/>
    <s v="Customer 043"/>
    <x v="4"/>
    <x v="1"/>
    <x v="0"/>
    <n v="3"/>
    <n v="0"/>
    <n v="660"/>
    <n v="92.4"/>
  </r>
  <r>
    <s v="ORD0377"/>
    <x v="260"/>
    <s v="Customer 068"/>
    <x v="2"/>
    <x v="1"/>
    <x v="0"/>
    <n v="2"/>
    <n v="0"/>
    <n v="1300"/>
    <n v="208"/>
  </r>
  <r>
    <s v="ORD0001"/>
    <x v="261"/>
    <s v="Customer 072"/>
    <x v="3"/>
    <x v="2"/>
    <x v="1"/>
    <n v="4"/>
    <n v="0.05"/>
    <n v="45.6"/>
    <n v="12.77"/>
  </r>
  <r>
    <s v="ORD0250"/>
    <x v="261"/>
    <s v="Customer 025"/>
    <x v="2"/>
    <x v="1"/>
    <x v="2"/>
    <n v="4"/>
    <n v="0.05"/>
    <n v="2470"/>
    <n v="395.2"/>
  </r>
  <r>
    <s v="ORD0210"/>
    <x v="261"/>
    <s v="Customer 065"/>
    <x v="4"/>
    <x v="1"/>
    <x v="3"/>
    <n v="7"/>
    <n v="0.05"/>
    <n v="1463"/>
    <n v="204.82"/>
  </r>
  <r>
    <s v="ORD0336"/>
    <x v="262"/>
    <s v="Customer 001"/>
    <x v="9"/>
    <x v="1"/>
    <x v="0"/>
    <n v="4"/>
    <n v="0"/>
    <n v="100"/>
    <n v="23"/>
  </r>
  <r>
    <s v="ORD0348"/>
    <x v="263"/>
    <s v="Customer 005"/>
    <x v="0"/>
    <x v="0"/>
    <x v="2"/>
    <n v="5"/>
    <n v="0.15"/>
    <n v="233.75"/>
    <n v="51.42"/>
  </r>
  <r>
    <s v="ORD0309"/>
    <x v="264"/>
    <s v="Customer 097"/>
    <x v="4"/>
    <x v="1"/>
    <x v="2"/>
    <n v="4"/>
    <n v="0"/>
    <n v="880"/>
    <n v="123.2"/>
  </r>
  <r>
    <s v="ORD0451"/>
    <x v="264"/>
    <s v="Customer 003"/>
    <x v="7"/>
    <x v="3"/>
    <x v="3"/>
    <n v="5"/>
    <n v="0"/>
    <n v="1300"/>
    <n v="195"/>
  </r>
  <r>
    <s v="ORD0361"/>
    <x v="265"/>
    <s v="Customer 078"/>
    <x v="9"/>
    <x v="1"/>
    <x v="3"/>
    <n v="3"/>
    <n v="0.05"/>
    <n v="71.25"/>
    <n v="16.39"/>
  </r>
  <r>
    <s v="ORD0467"/>
    <x v="266"/>
    <s v="Customer 019"/>
    <x v="5"/>
    <x v="2"/>
    <x v="3"/>
    <n v="5"/>
    <n v="0"/>
    <n v="40"/>
    <n v="12"/>
  </r>
  <r>
    <s v="ORD0255"/>
    <x v="267"/>
    <s v="Customer 005"/>
    <x v="1"/>
    <x v="1"/>
    <x v="3"/>
    <n v="2"/>
    <n v="0.05"/>
    <n v="161.5"/>
    <n v="30.68"/>
  </r>
  <r>
    <s v="ORD0438"/>
    <x v="268"/>
    <s v="Customer 073"/>
    <x v="0"/>
    <x v="0"/>
    <x v="0"/>
    <n v="8"/>
    <n v="0"/>
    <n v="440"/>
    <n v="96.8"/>
  </r>
  <r>
    <s v="ORD0282"/>
    <x v="268"/>
    <s v="Customer 098"/>
    <x v="1"/>
    <x v="1"/>
    <x v="1"/>
    <n v="1"/>
    <n v="0.05"/>
    <n v="80.75"/>
    <n v="15.34"/>
  </r>
  <r>
    <s v="ORD0202"/>
    <x v="269"/>
    <s v="Customer 020"/>
    <x v="2"/>
    <x v="1"/>
    <x v="0"/>
    <n v="4"/>
    <n v="0"/>
    <n v="2600"/>
    <n v="416"/>
  </r>
  <r>
    <s v="ORD0173"/>
    <x v="269"/>
    <s v="Customer 014"/>
    <x v="0"/>
    <x v="0"/>
    <x v="0"/>
    <n v="3"/>
    <n v="0.05"/>
    <n v="156.75"/>
    <n v="34.479999999999997"/>
  </r>
  <r>
    <s v="ORD0374"/>
    <x v="270"/>
    <s v="Customer 013"/>
    <x v="0"/>
    <x v="0"/>
    <x v="1"/>
    <n v="5"/>
    <n v="0.05"/>
    <n v="261.25"/>
    <n v="57.48"/>
  </r>
  <r>
    <s v="ORD0317"/>
    <x v="270"/>
    <s v="Customer 075"/>
    <x v="1"/>
    <x v="1"/>
    <x v="2"/>
    <n v="4"/>
    <n v="0.05"/>
    <n v="323"/>
    <n v="61.37"/>
  </r>
  <r>
    <s v="ORD0227"/>
    <x v="270"/>
    <s v="Customer 085"/>
    <x v="3"/>
    <x v="2"/>
    <x v="2"/>
    <n v="5"/>
    <n v="0"/>
    <n v="60"/>
    <n v="16.8"/>
  </r>
  <r>
    <s v="ORD0474"/>
    <x v="271"/>
    <s v="Customer 019"/>
    <x v="5"/>
    <x v="2"/>
    <x v="1"/>
    <n v="1"/>
    <n v="0"/>
    <n v="8"/>
    <n v="2.4"/>
  </r>
  <r>
    <s v="ORD0243"/>
    <x v="271"/>
    <s v="Customer 047"/>
    <x v="9"/>
    <x v="1"/>
    <x v="2"/>
    <n v="1"/>
    <n v="0"/>
    <n v="25"/>
    <n v="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56D427-917B-4EBE-B44B-85B32C4A78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8" firstHeaderRow="0" firstDataRow="1" firstDataCol="1"/>
  <pivotFields count="12">
    <pivotField showAll="0"/>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dataField="1" numFmtId="2" showAll="0"/>
    <pivotField numFmtId="10" showAll="0"/>
    <pivotField dataField="1" numFmtId="2" showAll="0"/>
    <pivotField dataField="1" numFmtId="2"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5">
    <i>
      <x v="1"/>
    </i>
    <i>
      <x v="2"/>
    </i>
    <i>
      <x/>
    </i>
    <i>
      <x v="3"/>
    </i>
    <i t="grand">
      <x/>
    </i>
  </rowItems>
  <colFields count="1">
    <field x="-2"/>
  </colFields>
  <colItems count="3">
    <i>
      <x/>
    </i>
    <i i="1">
      <x v="1"/>
    </i>
    <i i="2">
      <x v="2"/>
    </i>
  </colItems>
  <dataFields count="3">
    <dataField name="Sum of Sales" fld="8" baseField="0" baseItem="0" numFmtId="2"/>
    <dataField name="Sum of Quantity" fld="6" baseField="0" baseItem="0" numFmtId="2"/>
    <dataField name="Sum of Profit" fld="9" baseField="0" baseItem="0" numFmtId="2"/>
  </dataField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6F64C6-E691-45AC-BBA7-82B0253237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8" firstHeaderRow="0" firstDataRow="1" firstDataCol="1"/>
  <pivotFields count="12">
    <pivotField showAll="0"/>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showAll="0">
      <items count="5">
        <item x="0"/>
        <item x="1"/>
        <item x="3"/>
        <item x="2"/>
        <item t="default"/>
      </items>
    </pivotField>
    <pivotField axis="axisRow" showAll="0" sortType="descending">
      <items count="5">
        <item x="1"/>
        <item x="0"/>
        <item x="2"/>
        <item x="3"/>
        <item t="default"/>
      </items>
      <autoSortScope>
        <pivotArea dataOnly="0" outline="0" fieldPosition="0">
          <references count="1">
            <reference field="4294967294" count="1" selected="0">
              <x v="1"/>
            </reference>
          </references>
        </pivotArea>
      </autoSortScope>
    </pivotField>
    <pivotField numFmtId="2" showAll="0"/>
    <pivotField numFmtId="10" showAll="0"/>
    <pivotField dataField="1" numFmtId="2" showAll="0"/>
    <pivotField dataField="1" numFmtId="2"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5">
    <i>
      <x v="3"/>
    </i>
    <i>
      <x v="2"/>
    </i>
    <i>
      <x v="1"/>
    </i>
    <i>
      <x/>
    </i>
    <i t="grand">
      <x/>
    </i>
  </rowItems>
  <colFields count="1">
    <field x="-2"/>
  </colFields>
  <colItems count="2">
    <i>
      <x/>
    </i>
    <i i="1">
      <x v="1"/>
    </i>
  </colItems>
  <dataFields count="2">
    <dataField name="Sum of Sales" fld="8" baseField="0" baseItem="0" numFmtId="2"/>
    <dataField name="Sum of Profit" fld="9" baseField="0" baseItem="0" numFmtId="2"/>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7D04B6-D1A7-44EA-AD01-FEBAAD8E05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12">
    <pivotField showAll="0"/>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showAll="0">
      <items count="5">
        <item x="0"/>
        <item x="1"/>
        <item x="3"/>
        <item x="2"/>
        <item t="default"/>
      </items>
    </pivotField>
    <pivotField showAll="0">
      <items count="5">
        <item x="1"/>
        <item x="0"/>
        <item x="2"/>
        <item x="3"/>
        <item t="default"/>
      </items>
    </pivotField>
    <pivotField numFmtId="2" showAll="0"/>
    <pivotField numFmtId="10" showAll="0"/>
    <pivotField dataField="1" numFmtId="2" showAll="0"/>
    <pivotField numFmtId="2"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items count="5">
        <item x="0"/>
        <item x="1"/>
        <item x="2"/>
        <item x="3"/>
        <item t="default"/>
      </items>
    </pivotField>
  </pivotFields>
  <rowFields count="2">
    <field x="11"/>
    <field x="10"/>
  </rowFields>
  <rowItems count="14">
    <i>
      <x v="1"/>
    </i>
    <i r="1">
      <x v="11"/>
    </i>
    <i r="1">
      <x v="2"/>
    </i>
    <i r="1">
      <x v="4"/>
    </i>
    <i r="1">
      <x v="3"/>
    </i>
    <i r="1">
      <x v="10"/>
    </i>
    <i r="1">
      <x v="6"/>
    </i>
    <i r="1">
      <x v="5"/>
    </i>
    <i r="1">
      <x v="8"/>
    </i>
    <i r="1">
      <x v="1"/>
    </i>
    <i r="1">
      <x v="12"/>
    </i>
    <i r="1">
      <x v="7"/>
    </i>
    <i r="1">
      <x v="9"/>
    </i>
    <i t="grand">
      <x/>
    </i>
  </rowItems>
  <colItems count="1">
    <i/>
  </colItems>
  <dataFields count="1">
    <dataField name="Sum of Sales" fld="8" baseField="0" baseItem="0" numFmtId="2"/>
  </dataFields>
  <chartFormats count="2">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293666-AAC8-49A5-8F07-9459EBBC24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4" firstHeaderRow="0" firstDataRow="1" firstDataCol="1"/>
  <pivotFields count="12">
    <pivotField showAll="0"/>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axis="axisRow" showAll="0" measureFilter="1" sortType="descending">
      <items count="11">
        <item x="0"/>
        <item x="7"/>
        <item x="1"/>
        <item x="8"/>
        <item x="2"/>
        <item x="4"/>
        <item x="9"/>
        <item x="5"/>
        <item x="6"/>
        <item x="3"/>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items count="5">
        <item x="1"/>
        <item x="0"/>
        <item x="2"/>
        <item x="3"/>
        <item t="default"/>
      </items>
    </pivotField>
    <pivotField numFmtId="2" showAll="0"/>
    <pivotField numFmtId="10" showAll="0"/>
    <pivotField dataField="1" numFmtId="2" showAll="0"/>
    <pivotField dataField="1" numFmtId="2" showAll="0"/>
    <pivotField showAll="0" defaultSubtotal="0"/>
    <pivotField showAll="0" defaultSubtotal="0">
      <items count="4">
        <item x="0"/>
        <item x="1"/>
        <item x="2"/>
        <item x="3"/>
      </items>
    </pivotField>
  </pivotFields>
  <rowFields count="1">
    <field x="3"/>
  </rowFields>
  <rowItems count="11">
    <i>
      <x v="4"/>
    </i>
    <i>
      <x v="1"/>
    </i>
    <i>
      <x v="5"/>
    </i>
    <i>
      <x v="8"/>
    </i>
    <i>
      <x v="2"/>
    </i>
    <i>
      <x v="3"/>
    </i>
    <i>
      <x/>
    </i>
    <i>
      <x v="6"/>
    </i>
    <i>
      <x v="9"/>
    </i>
    <i>
      <x v="7"/>
    </i>
    <i t="grand">
      <x/>
    </i>
  </rowItems>
  <colFields count="1">
    <field x="-2"/>
  </colFields>
  <colItems count="2">
    <i>
      <x/>
    </i>
    <i i="1">
      <x v="1"/>
    </i>
  </colItems>
  <dataFields count="2">
    <dataField name="Sum of Sales" fld="8" baseField="0" baseItem="0" numFmtId="2"/>
    <dataField name="Sum of Profit" fld="9" baseField="0" baseItem="0" numFmtId="2"/>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01040-0999-4144-90FE-67844DA3C5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showAll="0"/>
    <pivotField numFmtId="14" showAll="0">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numFmtId="2" showAll="0"/>
    <pivotField numFmtId="10" showAll="0"/>
    <pivotField numFmtId="2" showAll="0"/>
    <pivotField dataField="1" numFmtId="2" showAll="0"/>
    <pivotField showAll="0" defaultSubtotal="0"/>
    <pivotField showAll="0" defaultSubtotal="0">
      <items count="4">
        <item x="0"/>
        <item x="1"/>
        <item x="2"/>
        <item x="3"/>
      </items>
    </pivotField>
  </pivotFields>
  <rowFields count="1">
    <field x="4"/>
  </rowFields>
  <rowItems count="5">
    <i>
      <x v="1"/>
    </i>
    <i>
      <x v="2"/>
    </i>
    <i>
      <x/>
    </i>
    <i>
      <x v="3"/>
    </i>
    <i t="grand">
      <x/>
    </i>
  </rowItems>
  <colItems count="1">
    <i/>
  </colItems>
  <dataFields count="1">
    <dataField name="Sum of Profi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5F4B13-CA87-43A3-89CF-934760AFB263}" sourceName="Region">
  <pivotTables>
    <pivotTable tabId="3" name="PivotTable2"/>
    <pivotTable tabId="2" name="PivotTable1"/>
    <pivotTable tabId="4" name="PivotTable3"/>
    <pivotTable tabId="5" name="PivotTable4"/>
  </pivotTables>
  <data>
    <tabular pivotCacheId="541786274">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9A4A56-01E3-4D5A-AB85-AEF8E32D4E9A}" sourceName="Category">
  <pivotTables>
    <pivotTable tabId="2" name="PivotTable1"/>
    <pivotTable tabId="4" name="PivotTable3"/>
    <pivotTable tabId="5" name="PivotTable4"/>
    <pivotTable tabId="3" name="PivotTable2"/>
  </pivotTables>
  <data>
    <tabular pivotCacheId="54178627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DE42CAD-A945-4124-B770-A7AEE2437CA3}" cache="Slicer_Region" caption="Region" rowHeight="241300"/>
  <slicer name="Category" xr10:uid="{012BA1AE-8234-4579-8319-E7B540D2D67F}"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70666F-2909-4699-9127-39A64509F6D1}" name="Table1" displayName="Table1" ref="A1:J501" totalsRowShown="0" headerRowDxfId="8" headerRowBorderDxfId="7" tableBorderDxfId="6">
  <autoFilter ref="A1:J501" xr:uid="{4970666F-2909-4699-9127-39A64509F6D1}"/>
  <tableColumns count="10">
    <tableColumn id="1" xr3:uid="{B177815A-45C0-4682-976E-0C7969E74643}" name="Order ID"/>
    <tableColumn id="2" xr3:uid="{F0A3B449-A113-4B7A-9116-AA0531FA8699}" name="Order Date" dataDxfId="5"/>
    <tableColumn id="3" xr3:uid="{DB37430F-B7A3-41A5-A770-011725B8267D}" name="Customer"/>
    <tableColumn id="4" xr3:uid="{47FE05D4-120B-4BD0-BAFF-2D33A502329F}" name="Product"/>
    <tableColumn id="5" xr3:uid="{0BCBFD82-1D2E-4546-ABD3-26806C5D5D0D}" name="Category"/>
    <tableColumn id="6" xr3:uid="{DFE1F2A2-E833-4467-99A2-EA719BAC6C80}" name="Region"/>
    <tableColumn id="7" xr3:uid="{B2FE7F1A-E023-479A-940D-431190616F71}" name="Quantity" dataDxfId="4"/>
    <tableColumn id="8" xr3:uid="{C653EEAC-BD80-4837-BE99-9F20CD9B70EC}" name="Discount" dataDxfId="3"/>
    <tableColumn id="9" xr3:uid="{48E1BA04-BC0A-42F4-B693-3575C63899D1}" name="Sales" dataDxfId="2"/>
    <tableColumn id="10" xr3:uid="{80D62AD2-726B-4154-9F5C-D6BF3D850B4C}" name="Profit" dataDxfId="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817D-AB1E-4E1C-9C07-976E48EA0048}">
  <dimension ref="A3:D8"/>
  <sheetViews>
    <sheetView workbookViewId="0">
      <selection activeCell="C17" sqref="C17"/>
    </sheetView>
  </sheetViews>
  <sheetFormatPr defaultRowHeight="14.5" x14ac:dyDescent="0.35"/>
  <cols>
    <col min="1" max="1" width="12.36328125" bestFit="1" customWidth="1"/>
    <col min="2" max="2" width="11.26953125" bestFit="1" customWidth="1"/>
    <col min="3" max="3" width="14.54296875" bestFit="1" customWidth="1"/>
    <col min="4" max="4" width="11.81640625" bestFit="1" customWidth="1"/>
  </cols>
  <sheetData>
    <row r="3" spans="1:4" x14ac:dyDescent="0.35">
      <c r="A3" s="7" t="s">
        <v>630</v>
      </c>
      <c r="B3" t="s">
        <v>627</v>
      </c>
      <c r="C3" t="s">
        <v>629</v>
      </c>
      <c r="D3" t="s">
        <v>628</v>
      </c>
    </row>
    <row r="4" spans="1:4" x14ac:dyDescent="0.35">
      <c r="A4" s="8" t="s">
        <v>620</v>
      </c>
      <c r="B4" s="4">
        <v>264679</v>
      </c>
      <c r="C4" s="4">
        <v>1213</v>
      </c>
      <c r="D4" s="4">
        <v>42820.94000000001</v>
      </c>
    </row>
    <row r="5" spans="1:4" x14ac:dyDescent="0.35">
      <c r="A5" s="8" t="s">
        <v>622</v>
      </c>
      <c r="B5" s="4">
        <v>92395</v>
      </c>
      <c r="C5" s="4">
        <v>423</v>
      </c>
      <c r="D5" s="4">
        <v>14824.229999999996</v>
      </c>
    </row>
    <row r="6" spans="1:4" x14ac:dyDescent="0.35">
      <c r="A6" s="8" t="s">
        <v>619</v>
      </c>
      <c r="B6" s="4">
        <v>9900</v>
      </c>
      <c r="C6" s="4">
        <v>188</v>
      </c>
      <c r="D6" s="4">
        <v>2178</v>
      </c>
    </row>
    <row r="7" spans="1:4" x14ac:dyDescent="0.35">
      <c r="A7" s="8" t="s">
        <v>621</v>
      </c>
      <c r="B7" s="4">
        <v>4210.2000000000007</v>
      </c>
      <c r="C7" s="4">
        <v>439</v>
      </c>
      <c r="D7" s="4">
        <v>1213.9300000000003</v>
      </c>
    </row>
    <row r="8" spans="1:4" x14ac:dyDescent="0.35">
      <c r="A8" s="8" t="s">
        <v>631</v>
      </c>
      <c r="B8" s="4">
        <v>371184.2</v>
      </c>
      <c r="C8" s="4">
        <v>2263</v>
      </c>
      <c r="D8" s="4">
        <v>61037.100000000006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12E45-D906-4316-A041-2CC297BAF241}">
  <dimension ref="A3:C8"/>
  <sheetViews>
    <sheetView workbookViewId="0">
      <selection activeCell="B4" sqref="B4"/>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7" t="s">
        <v>630</v>
      </c>
      <c r="B3" t="s">
        <v>627</v>
      </c>
      <c r="C3" t="s">
        <v>628</v>
      </c>
    </row>
    <row r="4" spans="1:3" x14ac:dyDescent="0.35">
      <c r="A4" s="8" t="s">
        <v>626</v>
      </c>
      <c r="B4" s="4">
        <v>106149.45</v>
      </c>
      <c r="C4" s="4">
        <v>17337.75</v>
      </c>
    </row>
    <row r="5" spans="1:3" x14ac:dyDescent="0.35">
      <c r="A5" s="8" t="s">
        <v>625</v>
      </c>
      <c r="B5" s="4">
        <v>105981.65000000001</v>
      </c>
      <c r="C5" s="4">
        <v>17331.029999999992</v>
      </c>
    </row>
    <row r="6" spans="1:3" x14ac:dyDescent="0.35">
      <c r="A6" s="8" t="s">
        <v>623</v>
      </c>
      <c r="B6" s="4">
        <v>80934.8</v>
      </c>
      <c r="C6" s="4">
        <v>13529.689999999995</v>
      </c>
    </row>
    <row r="7" spans="1:3" x14ac:dyDescent="0.35">
      <c r="A7" s="8" t="s">
        <v>624</v>
      </c>
      <c r="B7" s="4">
        <v>78118.3</v>
      </c>
      <c r="C7" s="4">
        <v>12838.629999999992</v>
      </c>
    </row>
    <row r="8" spans="1:3" x14ac:dyDescent="0.35">
      <c r="A8" s="8" t="s">
        <v>631</v>
      </c>
      <c r="B8" s="4">
        <v>371184.2</v>
      </c>
      <c r="C8" s="4">
        <v>61037.099999999977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EF2A-9278-497F-BBE6-8DFD28C0E8AD}">
  <dimension ref="A3:B17"/>
  <sheetViews>
    <sheetView workbookViewId="0">
      <selection activeCell="B7" sqref="B7"/>
    </sheetView>
  </sheetViews>
  <sheetFormatPr defaultRowHeight="14.5" x14ac:dyDescent="0.35"/>
  <cols>
    <col min="1" max="1" width="12.36328125" bestFit="1" customWidth="1"/>
    <col min="2" max="2" width="11.26953125" bestFit="1" customWidth="1"/>
  </cols>
  <sheetData>
    <row r="3" spans="1:2" x14ac:dyDescent="0.35">
      <c r="A3" s="7" t="s">
        <v>630</v>
      </c>
      <c r="B3" t="s">
        <v>627</v>
      </c>
    </row>
    <row r="4" spans="1:2" x14ac:dyDescent="0.35">
      <c r="A4" s="8" t="s">
        <v>644</v>
      </c>
      <c r="B4" s="4">
        <v>371184.19999999995</v>
      </c>
    </row>
    <row r="5" spans="1:2" x14ac:dyDescent="0.35">
      <c r="A5" s="9" t="s">
        <v>642</v>
      </c>
      <c r="B5" s="4">
        <v>46159.199999999997</v>
      </c>
    </row>
    <row r="6" spans="1:2" x14ac:dyDescent="0.35">
      <c r="A6" s="9" t="s">
        <v>633</v>
      </c>
      <c r="B6" s="4">
        <v>39470.050000000003</v>
      </c>
    </row>
    <row r="7" spans="1:2" x14ac:dyDescent="0.35">
      <c r="A7" s="9" t="s">
        <v>635</v>
      </c>
      <c r="B7" s="4">
        <v>37624.800000000003</v>
      </c>
    </row>
    <row r="8" spans="1:2" x14ac:dyDescent="0.35">
      <c r="A8" s="9" t="s">
        <v>634</v>
      </c>
      <c r="B8" s="4">
        <v>35910.550000000003</v>
      </c>
    </row>
    <row r="9" spans="1:2" x14ac:dyDescent="0.35">
      <c r="A9" s="9" t="s">
        <v>641</v>
      </c>
      <c r="B9" s="4">
        <v>35413.599999999999</v>
      </c>
    </row>
    <row r="10" spans="1:2" x14ac:dyDescent="0.35">
      <c r="A10" s="9" t="s">
        <v>637</v>
      </c>
      <c r="B10" s="4">
        <v>30190.6</v>
      </c>
    </row>
    <row r="11" spans="1:2" x14ac:dyDescent="0.35">
      <c r="A11" s="9" t="s">
        <v>636</v>
      </c>
      <c r="B11" s="4">
        <v>29524.25</v>
      </c>
    </row>
    <row r="12" spans="1:2" x14ac:dyDescent="0.35">
      <c r="A12" s="9" t="s">
        <v>639</v>
      </c>
      <c r="B12" s="4">
        <v>26186.750000000004</v>
      </c>
    </row>
    <row r="13" spans="1:2" x14ac:dyDescent="0.35">
      <c r="A13" s="9" t="s">
        <v>632</v>
      </c>
      <c r="B13" s="4">
        <v>25903.649999999998</v>
      </c>
    </row>
    <row r="14" spans="1:2" x14ac:dyDescent="0.35">
      <c r="A14" s="9" t="s">
        <v>643</v>
      </c>
      <c r="B14" s="4">
        <v>22298.6</v>
      </c>
    </row>
    <row r="15" spans="1:2" x14ac:dyDescent="0.35">
      <c r="A15" s="9" t="s">
        <v>638</v>
      </c>
      <c r="B15" s="4">
        <v>21599.55</v>
      </c>
    </row>
    <row r="16" spans="1:2" x14ac:dyDescent="0.35">
      <c r="A16" s="9" t="s">
        <v>640</v>
      </c>
      <c r="B16" s="4">
        <v>20902.599999999999</v>
      </c>
    </row>
    <row r="17" spans="1:2" x14ac:dyDescent="0.35">
      <c r="A17" s="8" t="s">
        <v>631</v>
      </c>
      <c r="B17" s="4">
        <v>371184.19999999995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BA03-CAD8-4C9D-BCBD-9BA0A52B384A}">
  <dimension ref="A3:C14"/>
  <sheetViews>
    <sheetView workbookViewId="0">
      <selection activeCell="A9" sqref="A9"/>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7" t="s">
        <v>630</v>
      </c>
      <c r="B3" t="s">
        <v>627</v>
      </c>
      <c r="C3" t="s">
        <v>628</v>
      </c>
    </row>
    <row r="4" spans="1:3" x14ac:dyDescent="0.35">
      <c r="A4" s="8" t="s">
        <v>611</v>
      </c>
      <c r="B4" s="4">
        <v>184827.5</v>
      </c>
      <c r="C4" s="4">
        <v>29572.399999999994</v>
      </c>
    </row>
    <row r="5" spans="1:3" x14ac:dyDescent="0.35">
      <c r="A5" s="8" t="s">
        <v>616</v>
      </c>
      <c r="B5" s="4">
        <v>60229</v>
      </c>
      <c r="C5" s="4">
        <v>9034.35</v>
      </c>
    </row>
    <row r="6" spans="1:3" x14ac:dyDescent="0.35">
      <c r="A6" s="8" t="s">
        <v>613</v>
      </c>
      <c r="B6" s="4">
        <v>45089</v>
      </c>
      <c r="C6" s="4">
        <v>6312.4600000000019</v>
      </c>
    </row>
    <row r="7" spans="1:3" x14ac:dyDescent="0.35">
      <c r="A7" s="8" t="s">
        <v>615</v>
      </c>
      <c r="B7" s="4">
        <v>32166</v>
      </c>
      <c r="C7" s="4">
        <v>5789.8799999999974</v>
      </c>
    </row>
    <row r="8" spans="1:3" x14ac:dyDescent="0.35">
      <c r="A8" s="8" t="s">
        <v>610</v>
      </c>
      <c r="B8" s="4">
        <v>18687.25</v>
      </c>
      <c r="C8" s="4">
        <v>3550.5500000000015</v>
      </c>
    </row>
    <row r="9" spans="1:3" x14ac:dyDescent="0.35">
      <c r="A9" s="8" t="s">
        <v>617</v>
      </c>
      <c r="B9" s="4">
        <v>10392.75</v>
      </c>
      <c r="C9" s="4">
        <v>2078.5500000000002</v>
      </c>
    </row>
    <row r="10" spans="1:3" x14ac:dyDescent="0.35">
      <c r="A10" s="8" t="s">
        <v>609</v>
      </c>
      <c r="B10" s="4">
        <v>9900</v>
      </c>
      <c r="C10" s="4">
        <v>2178</v>
      </c>
    </row>
    <row r="11" spans="1:3" x14ac:dyDescent="0.35">
      <c r="A11" s="8" t="s">
        <v>618</v>
      </c>
      <c r="B11" s="4">
        <v>5682.5</v>
      </c>
      <c r="C11" s="4">
        <v>1306.98</v>
      </c>
    </row>
    <row r="12" spans="1:3" x14ac:dyDescent="0.35">
      <c r="A12" s="8" t="s">
        <v>612</v>
      </c>
      <c r="B12" s="4">
        <v>2455.7999999999997</v>
      </c>
      <c r="C12" s="4">
        <v>687.61</v>
      </c>
    </row>
    <row r="13" spans="1:3" x14ac:dyDescent="0.35">
      <c r="A13" s="8" t="s">
        <v>614</v>
      </c>
      <c r="B13" s="4">
        <v>1754.4</v>
      </c>
      <c r="C13" s="4">
        <v>526.32000000000005</v>
      </c>
    </row>
    <row r="14" spans="1:3" x14ac:dyDescent="0.35">
      <c r="A14" s="8" t="s">
        <v>631</v>
      </c>
      <c r="B14" s="4">
        <v>371184.2</v>
      </c>
      <c r="C14" s="4">
        <v>61037.099999999991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8517-52FA-4649-9EC5-C70E6EB271FA}">
  <dimension ref="A3:B8"/>
  <sheetViews>
    <sheetView workbookViewId="0">
      <selection activeCell="B5" sqref="B5"/>
    </sheetView>
  </sheetViews>
  <sheetFormatPr defaultRowHeight="14.5" x14ac:dyDescent="0.35"/>
  <cols>
    <col min="1" max="1" width="12.36328125" bestFit="1" customWidth="1"/>
    <col min="2" max="2" width="11.81640625" bestFit="1" customWidth="1"/>
  </cols>
  <sheetData>
    <row r="3" spans="1:2" x14ac:dyDescent="0.35">
      <c r="A3" s="7" t="s">
        <v>630</v>
      </c>
      <c r="B3" t="s">
        <v>628</v>
      </c>
    </row>
    <row r="4" spans="1:2" x14ac:dyDescent="0.35">
      <c r="A4" s="8" t="s">
        <v>620</v>
      </c>
      <c r="B4" s="4">
        <v>42820.94000000001</v>
      </c>
    </row>
    <row r="5" spans="1:2" x14ac:dyDescent="0.35">
      <c r="A5" s="8" t="s">
        <v>622</v>
      </c>
      <c r="B5" s="4">
        <v>14824.229999999996</v>
      </c>
    </row>
    <row r="6" spans="1:2" x14ac:dyDescent="0.35">
      <c r="A6" s="8" t="s">
        <v>619</v>
      </c>
      <c r="B6" s="4">
        <v>2178</v>
      </c>
    </row>
    <row r="7" spans="1:2" x14ac:dyDescent="0.35">
      <c r="A7" s="8" t="s">
        <v>621</v>
      </c>
      <c r="B7" s="4">
        <v>1213.9300000000003</v>
      </c>
    </row>
    <row r="8" spans="1:2" x14ac:dyDescent="0.35">
      <c r="A8" s="8" t="s">
        <v>631</v>
      </c>
      <c r="B8" s="4">
        <v>61037.100000000006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opLeftCell="C1" workbookViewId="0">
      <selection activeCell="B12" sqref="B12"/>
    </sheetView>
  </sheetViews>
  <sheetFormatPr defaultColWidth="18.90625" defaultRowHeight="14.5" x14ac:dyDescent="0.35"/>
  <cols>
    <col min="7" max="7" width="18.90625" style="4"/>
    <col min="8" max="8" width="18.90625" style="6"/>
    <col min="9" max="10" width="18.90625" style="4"/>
  </cols>
  <sheetData>
    <row r="1" spans="1:10" x14ac:dyDescent="0.35">
      <c r="A1" s="1" t="s">
        <v>0</v>
      </c>
      <c r="B1" s="1" t="s">
        <v>1</v>
      </c>
      <c r="C1" s="1" t="s">
        <v>2</v>
      </c>
      <c r="D1" s="1" t="s">
        <v>3</v>
      </c>
      <c r="E1" s="1" t="s">
        <v>4</v>
      </c>
      <c r="F1" s="1" t="s">
        <v>5</v>
      </c>
      <c r="G1" s="3" t="s">
        <v>6</v>
      </c>
      <c r="H1" s="5" t="s">
        <v>7</v>
      </c>
      <c r="I1" s="3" t="s">
        <v>8</v>
      </c>
      <c r="J1" s="3" t="s">
        <v>9</v>
      </c>
    </row>
    <row r="2" spans="1:10" x14ac:dyDescent="0.35">
      <c r="A2" t="s">
        <v>10</v>
      </c>
      <c r="B2" s="2">
        <v>45658</v>
      </c>
      <c r="C2" t="s">
        <v>510</v>
      </c>
      <c r="D2" t="s">
        <v>609</v>
      </c>
      <c r="E2" t="s">
        <v>619</v>
      </c>
      <c r="F2" t="s">
        <v>623</v>
      </c>
      <c r="G2" s="4">
        <v>3</v>
      </c>
      <c r="H2" s="6">
        <v>0</v>
      </c>
      <c r="I2" s="4">
        <v>165</v>
      </c>
      <c r="J2" s="4">
        <v>36.299999999999997</v>
      </c>
    </row>
    <row r="3" spans="1:10" x14ac:dyDescent="0.35">
      <c r="A3" t="s">
        <v>11</v>
      </c>
      <c r="B3" s="2">
        <v>45658</v>
      </c>
      <c r="C3" t="s">
        <v>511</v>
      </c>
      <c r="D3" t="s">
        <v>610</v>
      </c>
      <c r="E3" t="s">
        <v>620</v>
      </c>
      <c r="F3" t="s">
        <v>624</v>
      </c>
      <c r="G3" s="4">
        <v>7</v>
      </c>
      <c r="H3" s="6">
        <v>0</v>
      </c>
      <c r="I3" s="4">
        <v>595</v>
      </c>
      <c r="J3" s="4">
        <v>113.05</v>
      </c>
    </row>
    <row r="4" spans="1:10" x14ac:dyDescent="0.35">
      <c r="A4" t="s">
        <v>12</v>
      </c>
      <c r="B4" s="2">
        <v>45659</v>
      </c>
      <c r="C4" t="s">
        <v>512</v>
      </c>
      <c r="D4" t="s">
        <v>609</v>
      </c>
      <c r="E4" t="s">
        <v>619</v>
      </c>
      <c r="F4" t="s">
        <v>625</v>
      </c>
      <c r="G4" s="4">
        <v>4</v>
      </c>
      <c r="H4" s="6">
        <v>0</v>
      </c>
      <c r="I4" s="4">
        <v>220</v>
      </c>
      <c r="J4" s="4">
        <v>48.4</v>
      </c>
    </row>
    <row r="5" spans="1:10" x14ac:dyDescent="0.35">
      <c r="A5" t="s">
        <v>13</v>
      </c>
      <c r="B5" s="2">
        <v>45660</v>
      </c>
      <c r="C5" t="s">
        <v>513</v>
      </c>
      <c r="D5" t="s">
        <v>611</v>
      </c>
      <c r="E5" t="s">
        <v>620</v>
      </c>
      <c r="F5" t="s">
        <v>626</v>
      </c>
      <c r="G5" s="4">
        <v>8</v>
      </c>
      <c r="H5" s="6">
        <v>0</v>
      </c>
      <c r="I5" s="4">
        <v>5200</v>
      </c>
      <c r="J5" s="4">
        <v>832</v>
      </c>
    </row>
    <row r="6" spans="1:10" x14ac:dyDescent="0.35">
      <c r="A6" t="s">
        <v>14</v>
      </c>
      <c r="B6" s="2">
        <v>45661</v>
      </c>
      <c r="C6" t="s">
        <v>514</v>
      </c>
      <c r="D6" t="s">
        <v>609</v>
      </c>
      <c r="E6" t="s">
        <v>619</v>
      </c>
      <c r="F6" t="s">
        <v>626</v>
      </c>
      <c r="G6" s="4">
        <v>5</v>
      </c>
      <c r="H6" s="6">
        <v>0.1</v>
      </c>
      <c r="I6" s="4">
        <v>247.5</v>
      </c>
      <c r="J6" s="4">
        <v>54.45</v>
      </c>
    </row>
    <row r="7" spans="1:10" x14ac:dyDescent="0.35">
      <c r="A7" t="s">
        <v>15</v>
      </c>
      <c r="B7" s="2">
        <v>45662</v>
      </c>
      <c r="C7" t="s">
        <v>515</v>
      </c>
      <c r="D7" t="s">
        <v>609</v>
      </c>
      <c r="E7" t="s">
        <v>619</v>
      </c>
      <c r="F7" t="s">
        <v>626</v>
      </c>
      <c r="G7" s="4">
        <v>6</v>
      </c>
      <c r="H7" s="6">
        <v>0.1</v>
      </c>
      <c r="I7" s="4">
        <v>297</v>
      </c>
      <c r="J7" s="4">
        <v>65.34</v>
      </c>
    </row>
    <row r="8" spans="1:10" x14ac:dyDescent="0.35">
      <c r="A8" t="s">
        <v>16</v>
      </c>
      <c r="B8" s="2">
        <v>45664</v>
      </c>
      <c r="C8" t="s">
        <v>516</v>
      </c>
      <c r="D8" t="s">
        <v>612</v>
      </c>
      <c r="E8" t="s">
        <v>621</v>
      </c>
      <c r="F8" t="s">
        <v>625</v>
      </c>
      <c r="G8" s="4">
        <v>8</v>
      </c>
      <c r="H8" s="6">
        <v>0.05</v>
      </c>
      <c r="I8" s="4">
        <v>91.2</v>
      </c>
      <c r="J8" s="4">
        <v>25.54</v>
      </c>
    </row>
    <row r="9" spans="1:10" x14ac:dyDescent="0.35">
      <c r="A9" t="s">
        <v>17</v>
      </c>
      <c r="B9" s="2">
        <v>45664</v>
      </c>
      <c r="C9" t="s">
        <v>517</v>
      </c>
      <c r="D9" t="s">
        <v>609</v>
      </c>
      <c r="E9" t="s">
        <v>619</v>
      </c>
      <c r="F9" t="s">
        <v>624</v>
      </c>
      <c r="G9" s="4">
        <v>3</v>
      </c>
      <c r="H9" s="6">
        <v>0</v>
      </c>
      <c r="I9" s="4">
        <v>165</v>
      </c>
      <c r="J9" s="4">
        <v>36.299999999999997</v>
      </c>
    </row>
    <row r="10" spans="1:10" x14ac:dyDescent="0.35">
      <c r="A10" t="s">
        <v>18</v>
      </c>
      <c r="B10" s="2">
        <v>45665</v>
      </c>
      <c r="C10" t="s">
        <v>518</v>
      </c>
      <c r="D10" t="s">
        <v>613</v>
      </c>
      <c r="E10" t="s">
        <v>620</v>
      </c>
      <c r="F10" t="s">
        <v>625</v>
      </c>
      <c r="G10" s="4">
        <v>2</v>
      </c>
      <c r="H10" s="6">
        <v>0</v>
      </c>
      <c r="I10" s="4">
        <v>440</v>
      </c>
      <c r="J10" s="4">
        <v>61.6</v>
      </c>
    </row>
    <row r="11" spans="1:10" x14ac:dyDescent="0.35">
      <c r="A11" t="s">
        <v>19</v>
      </c>
      <c r="B11" s="2">
        <v>45665</v>
      </c>
      <c r="C11" t="s">
        <v>519</v>
      </c>
      <c r="D11" t="s">
        <v>614</v>
      </c>
      <c r="E11" t="s">
        <v>621</v>
      </c>
      <c r="F11" t="s">
        <v>626</v>
      </c>
      <c r="G11" s="4">
        <v>8</v>
      </c>
      <c r="H11" s="6">
        <v>0</v>
      </c>
      <c r="I11" s="4">
        <v>64</v>
      </c>
      <c r="J11" s="4">
        <v>19.2</v>
      </c>
    </row>
    <row r="12" spans="1:10" x14ac:dyDescent="0.35">
      <c r="A12" t="s">
        <v>20</v>
      </c>
      <c r="B12" s="2">
        <v>45666</v>
      </c>
      <c r="C12" t="s">
        <v>520</v>
      </c>
      <c r="D12" t="s">
        <v>615</v>
      </c>
      <c r="E12" t="s">
        <v>622</v>
      </c>
      <c r="F12" t="s">
        <v>625</v>
      </c>
      <c r="G12" s="4">
        <v>4</v>
      </c>
      <c r="H12" s="6">
        <v>0</v>
      </c>
      <c r="I12" s="4">
        <v>720</v>
      </c>
      <c r="J12" s="4">
        <v>129.6</v>
      </c>
    </row>
    <row r="13" spans="1:10" x14ac:dyDescent="0.35">
      <c r="A13" t="s">
        <v>21</v>
      </c>
      <c r="B13" s="2">
        <v>45667</v>
      </c>
      <c r="C13" t="s">
        <v>521</v>
      </c>
      <c r="D13" t="s">
        <v>613</v>
      </c>
      <c r="E13" t="s">
        <v>620</v>
      </c>
      <c r="F13" t="s">
        <v>624</v>
      </c>
      <c r="G13" s="4">
        <v>3</v>
      </c>
      <c r="H13" s="6">
        <v>0.1</v>
      </c>
      <c r="I13" s="4">
        <v>594</v>
      </c>
      <c r="J13" s="4">
        <v>83.16</v>
      </c>
    </row>
    <row r="14" spans="1:10" x14ac:dyDescent="0.35">
      <c r="A14" t="s">
        <v>22</v>
      </c>
      <c r="B14" s="2">
        <v>45667</v>
      </c>
      <c r="C14" t="s">
        <v>522</v>
      </c>
      <c r="D14" t="s">
        <v>613</v>
      </c>
      <c r="E14" t="s">
        <v>620</v>
      </c>
      <c r="F14" t="s">
        <v>623</v>
      </c>
      <c r="G14" s="4">
        <v>3</v>
      </c>
      <c r="H14" s="6">
        <v>0.05</v>
      </c>
      <c r="I14" s="4">
        <v>627</v>
      </c>
      <c r="J14" s="4">
        <v>87.78</v>
      </c>
    </row>
    <row r="15" spans="1:10" x14ac:dyDescent="0.35">
      <c r="A15" t="s">
        <v>23</v>
      </c>
      <c r="B15" s="2">
        <v>45668</v>
      </c>
      <c r="C15" t="s">
        <v>523</v>
      </c>
      <c r="D15" t="s">
        <v>616</v>
      </c>
      <c r="E15" t="s">
        <v>622</v>
      </c>
      <c r="F15" t="s">
        <v>625</v>
      </c>
      <c r="G15" s="4">
        <v>4</v>
      </c>
      <c r="H15" s="6">
        <v>0</v>
      </c>
      <c r="I15" s="4">
        <v>1040</v>
      </c>
      <c r="J15" s="4">
        <v>156</v>
      </c>
    </row>
    <row r="16" spans="1:10" x14ac:dyDescent="0.35">
      <c r="A16" t="s">
        <v>24</v>
      </c>
      <c r="B16" s="2">
        <v>45668</v>
      </c>
      <c r="C16" t="s">
        <v>524</v>
      </c>
      <c r="D16" t="s">
        <v>614</v>
      </c>
      <c r="E16" t="s">
        <v>621</v>
      </c>
      <c r="F16" t="s">
        <v>623</v>
      </c>
      <c r="G16" s="4">
        <v>8</v>
      </c>
      <c r="H16" s="6">
        <v>0.1</v>
      </c>
      <c r="I16" s="4">
        <v>57.6</v>
      </c>
      <c r="J16" s="4">
        <v>17.28</v>
      </c>
    </row>
    <row r="17" spans="1:10" x14ac:dyDescent="0.35">
      <c r="A17" t="s">
        <v>25</v>
      </c>
      <c r="B17" s="2">
        <v>45669</v>
      </c>
      <c r="C17" t="s">
        <v>525</v>
      </c>
      <c r="D17" t="s">
        <v>612</v>
      </c>
      <c r="E17" t="s">
        <v>621</v>
      </c>
      <c r="F17" t="s">
        <v>623</v>
      </c>
      <c r="G17" s="4">
        <v>8</v>
      </c>
      <c r="H17" s="6">
        <v>0.05</v>
      </c>
      <c r="I17" s="4">
        <v>91.2</v>
      </c>
      <c r="J17" s="4">
        <v>25.54</v>
      </c>
    </row>
    <row r="18" spans="1:10" x14ac:dyDescent="0.35">
      <c r="A18" t="s">
        <v>26</v>
      </c>
      <c r="B18" s="2">
        <v>45669</v>
      </c>
      <c r="C18" t="s">
        <v>526</v>
      </c>
      <c r="D18" t="s">
        <v>614</v>
      </c>
      <c r="E18" t="s">
        <v>621</v>
      </c>
      <c r="F18" t="s">
        <v>624</v>
      </c>
      <c r="G18" s="4">
        <v>2</v>
      </c>
      <c r="H18" s="6">
        <v>0.1</v>
      </c>
      <c r="I18" s="4">
        <v>14.4</v>
      </c>
      <c r="J18" s="4">
        <v>4.32</v>
      </c>
    </row>
    <row r="19" spans="1:10" x14ac:dyDescent="0.35">
      <c r="A19" t="s">
        <v>27</v>
      </c>
      <c r="B19" s="2">
        <v>45669</v>
      </c>
      <c r="C19" t="s">
        <v>527</v>
      </c>
      <c r="D19" t="s">
        <v>610</v>
      </c>
      <c r="E19" t="s">
        <v>620</v>
      </c>
      <c r="F19" t="s">
        <v>625</v>
      </c>
      <c r="G19" s="4">
        <v>3</v>
      </c>
      <c r="H19" s="6">
        <v>0</v>
      </c>
      <c r="I19" s="4">
        <v>255</v>
      </c>
      <c r="J19" s="4">
        <v>48.45</v>
      </c>
    </row>
    <row r="20" spans="1:10" x14ac:dyDescent="0.35">
      <c r="A20" t="s">
        <v>28</v>
      </c>
      <c r="B20" s="2">
        <v>45671</v>
      </c>
      <c r="C20" t="s">
        <v>528</v>
      </c>
      <c r="D20" t="s">
        <v>612</v>
      </c>
      <c r="E20" t="s">
        <v>621</v>
      </c>
      <c r="F20" t="s">
        <v>625</v>
      </c>
      <c r="G20" s="4">
        <v>2</v>
      </c>
      <c r="H20" s="6">
        <v>0</v>
      </c>
      <c r="I20" s="4">
        <v>24</v>
      </c>
      <c r="J20" s="4">
        <v>6.72</v>
      </c>
    </row>
    <row r="21" spans="1:10" x14ac:dyDescent="0.35">
      <c r="A21" t="s">
        <v>29</v>
      </c>
      <c r="B21" s="2">
        <v>45671</v>
      </c>
      <c r="C21" t="s">
        <v>529</v>
      </c>
      <c r="D21" t="s">
        <v>617</v>
      </c>
      <c r="E21" t="s">
        <v>620</v>
      </c>
      <c r="F21" t="s">
        <v>623</v>
      </c>
      <c r="G21" s="4">
        <v>1</v>
      </c>
      <c r="H21" s="6">
        <v>0.05</v>
      </c>
      <c r="I21" s="4">
        <v>42.75</v>
      </c>
      <c r="J21" s="4">
        <v>8.5500000000000007</v>
      </c>
    </row>
    <row r="22" spans="1:10" x14ac:dyDescent="0.35">
      <c r="A22" t="s">
        <v>30</v>
      </c>
      <c r="B22" s="2">
        <v>45672</v>
      </c>
      <c r="C22" t="s">
        <v>515</v>
      </c>
      <c r="D22" t="s">
        <v>610</v>
      </c>
      <c r="E22" t="s">
        <v>620</v>
      </c>
      <c r="F22" t="s">
        <v>623</v>
      </c>
      <c r="G22" s="4">
        <v>5</v>
      </c>
      <c r="H22" s="6">
        <v>0</v>
      </c>
      <c r="I22" s="4">
        <v>425</v>
      </c>
      <c r="J22" s="4">
        <v>80.75</v>
      </c>
    </row>
    <row r="23" spans="1:10" x14ac:dyDescent="0.35">
      <c r="A23" t="s">
        <v>31</v>
      </c>
      <c r="B23" s="2">
        <v>45674</v>
      </c>
      <c r="C23" t="s">
        <v>530</v>
      </c>
      <c r="D23" t="s">
        <v>611</v>
      </c>
      <c r="E23" t="s">
        <v>620</v>
      </c>
      <c r="F23" t="s">
        <v>626</v>
      </c>
      <c r="G23" s="4">
        <v>8</v>
      </c>
      <c r="H23" s="6">
        <v>0</v>
      </c>
      <c r="I23" s="4">
        <v>5200</v>
      </c>
      <c r="J23" s="4">
        <v>832</v>
      </c>
    </row>
    <row r="24" spans="1:10" x14ac:dyDescent="0.35">
      <c r="A24" t="s">
        <v>32</v>
      </c>
      <c r="B24" s="2">
        <v>45674</v>
      </c>
      <c r="C24" t="s">
        <v>531</v>
      </c>
      <c r="D24" t="s">
        <v>614</v>
      </c>
      <c r="E24" t="s">
        <v>621</v>
      </c>
      <c r="F24" t="s">
        <v>623</v>
      </c>
      <c r="G24" s="4">
        <v>2</v>
      </c>
      <c r="H24" s="6">
        <v>0</v>
      </c>
      <c r="I24" s="4">
        <v>16</v>
      </c>
      <c r="J24" s="4">
        <v>4.8</v>
      </c>
    </row>
    <row r="25" spans="1:10" x14ac:dyDescent="0.35">
      <c r="A25" t="s">
        <v>33</v>
      </c>
      <c r="B25" s="2">
        <v>45674</v>
      </c>
      <c r="C25" t="s">
        <v>532</v>
      </c>
      <c r="D25" t="s">
        <v>611</v>
      </c>
      <c r="E25" t="s">
        <v>620</v>
      </c>
      <c r="F25" t="s">
        <v>625</v>
      </c>
      <c r="G25" s="4">
        <v>5</v>
      </c>
      <c r="H25" s="6">
        <v>0</v>
      </c>
      <c r="I25" s="4">
        <v>3250</v>
      </c>
      <c r="J25" s="4">
        <v>520</v>
      </c>
    </row>
    <row r="26" spans="1:10" x14ac:dyDescent="0.35">
      <c r="A26" t="s">
        <v>34</v>
      </c>
      <c r="B26" s="2">
        <v>45675</v>
      </c>
      <c r="C26" t="s">
        <v>533</v>
      </c>
      <c r="D26" t="s">
        <v>617</v>
      </c>
      <c r="E26" t="s">
        <v>620</v>
      </c>
      <c r="F26" t="s">
        <v>623</v>
      </c>
      <c r="G26" s="4">
        <v>8</v>
      </c>
      <c r="H26" s="6">
        <v>0.1</v>
      </c>
      <c r="I26" s="4">
        <v>324</v>
      </c>
      <c r="J26" s="4">
        <v>64.8</v>
      </c>
    </row>
    <row r="27" spans="1:10" x14ac:dyDescent="0.35">
      <c r="A27" t="s">
        <v>35</v>
      </c>
      <c r="B27" s="2">
        <v>45676</v>
      </c>
      <c r="C27" t="s">
        <v>534</v>
      </c>
      <c r="D27" t="s">
        <v>618</v>
      </c>
      <c r="E27" t="s">
        <v>620</v>
      </c>
      <c r="F27" t="s">
        <v>624</v>
      </c>
      <c r="G27" s="4">
        <v>2</v>
      </c>
      <c r="H27" s="6">
        <v>0</v>
      </c>
      <c r="I27" s="4">
        <v>50</v>
      </c>
      <c r="J27" s="4">
        <v>11.5</v>
      </c>
    </row>
    <row r="28" spans="1:10" x14ac:dyDescent="0.35">
      <c r="A28" t="s">
        <v>36</v>
      </c>
      <c r="B28" s="2">
        <v>45677</v>
      </c>
      <c r="C28" t="s">
        <v>525</v>
      </c>
      <c r="D28" t="s">
        <v>610</v>
      </c>
      <c r="E28" t="s">
        <v>620</v>
      </c>
      <c r="F28" t="s">
        <v>624</v>
      </c>
      <c r="G28" s="4">
        <v>2</v>
      </c>
      <c r="H28" s="6">
        <v>0</v>
      </c>
      <c r="I28" s="4">
        <v>170</v>
      </c>
      <c r="J28" s="4">
        <v>32.299999999999997</v>
      </c>
    </row>
    <row r="29" spans="1:10" x14ac:dyDescent="0.35">
      <c r="A29" t="s">
        <v>37</v>
      </c>
      <c r="B29" s="2">
        <v>45678</v>
      </c>
      <c r="C29" t="s">
        <v>535</v>
      </c>
      <c r="D29" t="s">
        <v>614</v>
      </c>
      <c r="E29" t="s">
        <v>621</v>
      </c>
      <c r="F29" t="s">
        <v>625</v>
      </c>
      <c r="G29" s="4">
        <v>2</v>
      </c>
      <c r="H29" s="6">
        <v>0</v>
      </c>
      <c r="I29" s="4">
        <v>16</v>
      </c>
      <c r="J29" s="4">
        <v>4.8</v>
      </c>
    </row>
    <row r="30" spans="1:10" x14ac:dyDescent="0.35">
      <c r="A30" t="s">
        <v>38</v>
      </c>
      <c r="B30" s="2">
        <v>45679</v>
      </c>
      <c r="C30" t="s">
        <v>536</v>
      </c>
      <c r="D30" t="s">
        <v>617</v>
      </c>
      <c r="E30" t="s">
        <v>620</v>
      </c>
      <c r="F30" t="s">
        <v>625</v>
      </c>
      <c r="G30" s="4">
        <v>6</v>
      </c>
      <c r="H30" s="6">
        <v>0.15</v>
      </c>
      <c r="I30" s="4">
        <v>229.5</v>
      </c>
      <c r="J30" s="4">
        <v>45.9</v>
      </c>
    </row>
    <row r="31" spans="1:10" x14ac:dyDescent="0.35">
      <c r="A31" t="s">
        <v>39</v>
      </c>
      <c r="B31" s="2">
        <v>45679</v>
      </c>
      <c r="C31" t="s">
        <v>532</v>
      </c>
      <c r="D31" t="s">
        <v>616</v>
      </c>
      <c r="E31" t="s">
        <v>622</v>
      </c>
      <c r="F31" t="s">
        <v>626</v>
      </c>
      <c r="G31" s="4">
        <v>2</v>
      </c>
      <c r="H31" s="6">
        <v>0.05</v>
      </c>
      <c r="I31" s="4">
        <v>494</v>
      </c>
      <c r="J31" s="4">
        <v>74.099999999999994</v>
      </c>
    </row>
    <row r="32" spans="1:10" x14ac:dyDescent="0.35">
      <c r="A32" t="s">
        <v>40</v>
      </c>
      <c r="B32" s="2">
        <v>45680</v>
      </c>
      <c r="C32" t="s">
        <v>537</v>
      </c>
      <c r="D32" t="s">
        <v>614</v>
      </c>
      <c r="E32" t="s">
        <v>621</v>
      </c>
      <c r="F32" t="s">
        <v>624</v>
      </c>
      <c r="G32" s="4">
        <v>1</v>
      </c>
      <c r="H32" s="6">
        <v>0.05</v>
      </c>
      <c r="I32" s="4">
        <v>7.6</v>
      </c>
      <c r="J32" s="4">
        <v>2.2799999999999998</v>
      </c>
    </row>
    <row r="33" spans="1:10" x14ac:dyDescent="0.35">
      <c r="A33" t="s">
        <v>41</v>
      </c>
      <c r="B33" s="2">
        <v>45680</v>
      </c>
      <c r="C33" t="s">
        <v>538</v>
      </c>
      <c r="D33" t="s">
        <v>614</v>
      </c>
      <c r="E33" t="s">
        <v>621</v>
      </c>
      <c r="F33" t="s">
        <v>624</v>
      </c>
      <c r="G33" s="4">
        <v>8</v>
      </c>
      <c r="H33" s="6">
        <v>0.1</v>
      </c>
      <c r="I33" s="4">
        <v>57.6</v>
      </c>
      <c r="J33" s="4">
        <v>17.28</v>
      </c>
    </row>
    <row r="34" spans="1:10" x14ac:dyDescent="0.35">
      <c r="A34" t="s">
        <v>42</v>
      </c>
      <c r="B34" s="2">
        <v>45681</v>
      </c>
      <c r="C34" t="s">
        <v>539</v>
      </c>
      <c r="D34" t="s">
        <v>618</v>
      </c>
      <c r="E34" t="s">
        <v>620</v>
      </c>
      <c r="F34" t="s">
        <v>626</v>
      </c>
      <c r="G34" s="4">
        <v>5</v>
      </c>
      <c r="H34" s="6">
        <v>0</v>
      </c>
      <c r="I34" s="4">
        <v>125</v>
      </c>
      <c r="J34" s="4">
        <v>28.75</v>
      </c>
    </row>
    <row r="35" spans="1:10" x14ac:dyDescent="0.35">
      <c r="A35" t="s">
        <v>43</v>
      </c>
      <c r="B35" s="2">
        <v>45681</v>
      </c>
      <c r="C35" t="s">
        <v>513</v>
      </c>
      <c r="D35" t="s">
        <v>615</v>
      </c>
      <c r="E35" t="s">
        <v>622</v>
      </c>
      <c r="F35" t="s">
        <v>625</v>
      </c>
      <c r="G35" s="4">
        <v>4</v>
      </c>
      <c r="H35" s="6">
        <v>0</v>
      </c>
      <c r="I35" s="4">
        <v>720</v>
      </c>
      <c r="J35" s="4">
        <v>129.6</v>
      </c>
    </row>
    <row r="36" spans="1:10" x14ac:dyDescent="0.35">
      <c r="A36" t="s">
        <v>44</v>
      </c>
      <c r="B36" s="2">
        <v>45682</v>
      </c>
      <c r="C36" t="s">
        <v>540</v>
      </c>
      <c r="D36" t="s">
        <v>610</v>
      </c>
      <c r="E36" t="s">
        <v>620</v>
      </c>
      <c r="F36" t="s">
        <v>623</v>
      </c>
      <c r="G36" s="4">
        <v>6</v>
      </c>
      <c r="H36" s="6">
        <v>0</v>
      </c>
      <c r="I36" s="4">
        <v>510</v>
      </c>
      <c r="J36" s="4">
        <v>96.9</v>
      </c>
    </row>
    <row r="37" spans="1:10" x14ac:dyDescent="0.35">
      <c r="A37" t="s">
        <v>45</v>
      </c>
      <c r="B37" s="2">
        <v>45682</v>
      </c>
      <c r="C37" t="s">
        <v>541</v>
      </c>
      <c r="D37" t="s">
        <v>613</v>
      </c>
      <c r="E37" t="s">
        <v>620</v>
      </c>
      <c r="F37" t="s">
        <v>624</v>
      </c>
      <c r="G37" s="4">
        <v>4</v>
      </c>
      <c r="H37" s="6">
        <v>0</v>
      </c>
      <c r="I37" s="4">
        <v>880</v>
      </c>
      <c r="J37" s="4">
        <v>123.2</v>
      </c>
    </row>
    <row r="38" spans="1:10" x14ac:dyDescent="0.35">
      <c r="A38" t="s">
        <v>46</v>
      </c>
      <c r="B38" s="2">
        <v>45682</v>
      </c>
      <c r="C38" t="s">
        <v>542</v>
      </c>
      <c r="D38" t="s">
        <v>612</v>
      </c>
      <c r="E38" t="s">
        <v>621</v>
      </c>
      <c r="F38" t="s">
        <v>623</v>
      </c>
      <c r="G38" s="4">
        <v>4</v>
      </c>
      <c r="H38" s="6">
        <v>0.15</v>
      </c>
      <c r="I38" s="4">
        <v>40.799999999999997</v>
      </c>
      <c r="J38" s="4">
        <v>11.42</v>
      </c>
    </row>
    <row r="39" spans="1:10" x14ac:dyDescent="0.35">
      <c r="A39" t="s">
        <v>47</v>
      </c>
      <c r="B39" s="2">
        <v>45683</v>
      </c>
      <c r="C39" t="s">
        <v>543</v>
      </c>
      <c r="D39" t="s">
        <v>618</v>
      </c>
      <c r="E39" t="s">
        <v>620</v>
      </c>
      <c r="F39" t="s">
        <v>624</v>
      </c>
      <c r="G39" s="4">
        <v>7</v>
      </c>
      <c r="H39" s="6">
        <v>0.1</v>
      </c>
      <c r="I39" s="4">
        <v>157.5</v>
      </c>
      <c r="J39" s="4">
        <v>36.22</v>
      </c>
    </row>
    <row r="40" spans="1:10" x14ac:dyDescent="0.35">
      <c r="A40" t="s">
        <v>48</v>
      </c>
      <c r="B40" s="2">
        <v>45684</v>
      </c>
      <c r="C40" t="s">
        <v>544</v>
      </c>
      <c r="D40" t="s">
        <v>616</v>
      </c>
      <c r="E40" t="s">
        <v>622</v>
      </c>
      <c r="F40" t="s">
        <v>626</v>
      </c>
      <c r="G40" s="4">
        <v>4</v>
      </c>
      <c r="H40" s="6">
        <v>0</v>
      </c>
      <c r="I40" s="4">
        <v>1040</v>
      </c>
      <c r="J40" s="4">
        <v>156</v>
      </c>
    </row>
    <row r="41" spans="1:10" x14ac:dyDescent="0.35">
      <c r="A41" t="s">
        <v>49</v>
      </c>
      <c r="B41" s="2">
        <v>45685</v>
      </c>
      <c r="C41" t="s">
        <v>545</v>
      </c>
      <c r="D41" t="s">
        <v>610</v>
      </c>
      <c r="E41" t="s">
        <v>620</v>
      </c>
      <c r="F41" t="s">
        <v>625</v>
      </c>
      <c r="G41" s="4">
        <v>1</v>
      </c>
      <c r="H41" s="6">
        <v>0.05</v>
      </c>
      <c r="I41" s="4">
        <v>80.75</v>
      </c>
      <c r="J41" s="4">
        <v>15.34</v>
      </c>
    </row>
    <row r="42" spans="1:10" x14ac:dyDescent="0.35">
      <c r="A42" t="s">
        <v>50</v>
      </c>
      <c r="B42" s="2">
        <v>45685</v>
      </c>
      <c r="C42" t="s">
        <v>546</v>
      </c>
      <c r="D42" t="s">
        <v>612</v>
      </c>
      <c r="E42" t="s">
        <v>621</v>
      </c>
      <c r="F42" t="s">
        <v>625</v>
      </c>
      <c r="G42" s="4">
        <v>5</v>
      </c>
      <c r="H42" s="6">
        <v>0</v>
      </c>
      <c r="I42" s="4">
        <v>60</v>
      </c>
      <c r="J42" s="4">
        <v>16.8</v>
      </c>
    </row>
    <row r="43" spans="1:10" x14ac:dyDescent="0.35">
      <c r="A43" t="s">
        <v>51</v>
      </c>
      <c r="B43" s="2">
        <v>45686</v>
      </c>
      <c r="C43" t="s">
        <v>540</v>
      </c>
      <c r="D43" t="s">
        <v>615</v>
      </c>
      <c r="E43" t="s">
        <v>622</v>
      </c>
      <c r="F43" t="s">
        <v>623</v>
      </c>
      <c r="G43" s="4">
        <v>2</v>
      </c>
      <c r="H43" s="6">
        <v>0</v>
      </c>
      <c r="I43" s="4">
        <v>360</v>
      </c>
      <c r="J43" s="4">
        <v>64.8</v>
      </c>
    </row>
    <row r="44" spans="1:10" x14ac:dyDescent="0.35">
      <c r="A44" t="s">
        <v>52</v>
      </c>
      <c r="B44" s="2">
        <v>45686</v>
      </c>
      <c r="C44" t="s">
        <v>547</v>
      </c>
      <c r="D44" t="s">
        <v>613</v>
      </c>
      <c r="E44" t="s">
        <v>620</v>
      </c>
      <c r="F44" t="s">
        <v>623</v>
      </c>
      <c r="G44" s="4">
        <v>2</v>
      </c>
      <c r="H44" s="6">
        <v>0</v>
      </c>
      <c r="I44" s="4">
        <v>440</v>
      </c>
      <c r="J44" s="4">
        <v>61.6</v>
      </c>
    </row>
    <row r="45" spans="1:10" x14ac:dyDescent="0.35">
      <c r="A45" t="s">
        <v>53</v>
      </c>
      <c r="B45" s="2">
        <v>45687</v>
      </c>
      <c r="C45" t="s">
        <v>531</v>
      </c>
      <c r="D45" t="s">
        <v>617</v>
      </c>
      <c r="E45" t="s">
        <v>620</v>
      </c>
      <c r="F45" t="s">
        <v>624</v>
      </c>
      <c r="G45" s="4">
        <v>7</v>
      </c>
      <c r="H45" s="6">
        <v>0.05</v>
      </c>
      <c r="I45" s="4">
        <v>299.25</v>
      </c>
      <c r="J45" s="4">
        <v>59.85</v>
      </c>
    </row>
    <row r="46" spans="1:10" x14ac:dyDescent="0.35">
      <c r="A46" t="s">
        <v>54</v>
      </c>
      <c r="B46" s="2">
        <v>45689</v>
      </c>
      <c r="C46" t="s">
        <v>544</v>
      </c>
      <c r="D46" t="s">
        <v>611</v>
      </c>
      <c r="E46" t="s">
        <v>620</v>
      </c>
      <c r="F46" t="s">
        <v>624</v>
      </c>
      <c r="G46" s="4">
        <v>8</v>
      </c>
      <c r="H46" s="6">
        <v>0</v>
      </c>
      <c r="I46" s="4">
        <v>5200</v>
      </c>
      <c r="J46" s="4">
        <v>832</v>
      </c>
    </row>
    <row r="47" spans="1:10" x14ac:dyDescent="0.35">
      <c r="A47" t="s">
        <v>55</v>
      </c>
      <c r="B47" s="2">
        <v>45690</v>
      </c>
      <c r="C47" t="s">
        <v>548</v>
      </c>
      <c r="D47" t="s">
        <v>613</v>
      </c>
      <c r="E47" t="s">
        <v>620</v>
      </c>
      <c r="F47" t="s">
        <v>623</v>
      </c>
      <c r="G47" s="4">
        <v>3</v>
      </c>
      <c r="H47" s="6">
        <v>0</v>
      </c>
      <c r="I47" s="4">
        <v>660</v>
      </c>
      <c r="J47" s="4">
        <v>92.4</v>
      </c>
    </row>
    <row r="48" spans="1:10" x14ac:dyDescent="0.35">
      <c r="A48" t="s">
        <v>56</v>
      </c>
      <c r="B48" s="2">
        <v>45691</v>
      </c>
      <c r="C48" t="s">
        <v>549</v>
      </c>
      <c r="D48" t="s">
        <v>618</v>
      </c>
      <c r="E48" t="s">
        <v>620</v>
      </c>
      <c r="F48" t="s">
        <v>623</v>
      </c>
      <c r="G48" s="4">
        <v>6</v>
      </c>
      <c r="H48" s="6">
        <v>0</v>
      </c>
      <c r="I48" s="4">
        <v>150</v>
      </c>
      <c r="J48" s="4">
        <v>34.5</v>
      </c>
    </row>
    <row r="49" spans="1:10" x14ac:dyDescent="0.35">
      <c r="A49" t="s">
        <v>57</v>
      </c>
      <c r="B49" s="2">
        <v>45692</v>
      </c>
      <c r="C49" t="s">
        <v>550</v>
      </c>
      <c r="D49" t="s">
        <v>609</v>
      </c>
      <c r="E49" t="s">
        <v>619</v>
      </c>
      <c r="F49" t="s">
        <v>625</v>
      </c>
      <c r="G49" s="4">
        <v>7</v>
      </c>
      <c r="H49" s="6">
        <v>0</v>
      </c>
      <c r="I49" s="4">
        <v>385</v>
      </c>
      <c r="J49" s="4">
        <v>84.7</v>
      </c>
    </row>
    <row r="50" spans="1:10" x14ac:dyDescent="0.35">
      <c r="A50" t="s">
        <v>58</v>
      </c>
      <c r="B50" s="2">
        <v>45692</v>
      </c>
      <c r="C50" t="s">
        <v>551</v>
      </c>
      <c r="D50" t="s">
        <v>618</v>
      </c>
      <c r="E50" t="s">
        <v>620</v>
      </c>
      <c r="F50" t="s">
        <v>623</v>
      </c>
      <c r="G50" s="4">
        <v>3</v>
      </c>
      <c r="H50" s="6">
        <v>0</v>
      </c>
      <c r="I50" s="4">
        <v>75</v>
      </c>
      <c r="J50" s="4">
        <v>17.25</v>
      </c>
    </row>
    <row r="51" spans="1:10" x14ac:dyDescent="0.35">
      <c r="A51" t="s">
        <v>59</v>
      </c>
      <c r="B51" s="2">
        <v>45693</v>
      </c>
      <c r="C51" t="s">
        <v>533</v>
      </c>
      <c r="D51" t="s">
        <v>609</v>
      </c>
      <c r="E51" t="s">
        <v>619</v>
      </c>
      <c r="F51" t="s">
        <v>626</v>
      </c>
      <c r="G51" s="4">
        <v>5</v>
      </c>
      <c r="H51" s="6">
        <v>0.1</v>
      </c>
      <c r="I51" s="4">
        <v>247.5</v>
      </c>
      <c r="J51" s="4">
        <v>54.45</v>
      </c>
    </row>
    <row r="52" spans="1:10" x14ac:dyDescent="0.35">
      <c r="A52" t="s">
        <v>60</v>
      </c>
      <c r="B52" s="2">
        <v>45696</v>
      </c>
      <c r="C52" t="s">
        <v>552</v>
      </c>
      <c r="D52" t="s">
        <v>617</v>
      </c>
      <c r="E52" t="s">
        <v>620</v>
      </c>
      <c r="F52" t="s">
        <v>625</v>
      </c>
      <c r="G52" s="4">
        <v>3</v>
      </c>
      <c r="H52" s="6">
        <v>0.05</v>
      </c>
      <c r="I52" s="4">
        <v>128.25</v>
      </c>
      <c r="J52" s="4">
        <v>25.65</v>
      </c>
    </row>
    <row r="53" spans="1:10" x14ac:dyDescent="0.35">
      <c r="A53" t="s">
        <v>61</v>
      </c>
      <c r="B53" s="2">
        <v>45697</v>
      </c>
      <c r="C53" t="s">
        <v>527</v>
      </c>
      <c r="D53" t="s">
        <v>611</v>
      </c>
      <c r="E53" t="s">
        <v>620</v>
      </c>
      <c r="F53" t="s">
        <v>623</v>
      </c>
      <c r="G53" s="4">
        <v>2</v>
      </c>
      <c r="H53" s="6">
        <v>0</v>
      </c>
      <c r="I53" s="4">
        <v>1300</v>
      </c>
      <c r="J53" s="4">
        <v>208</v>
      </c>
    </row>
    <row r="54" spans="1:10" x14ac:dyDescent="0.35">
      <c r="A54" t="s">
        <v>62</v>
      </c>
      <c r="B54" s="2">
        <v>45698</v>
      </c>
      <c r="C54" t="s">
        <v>553</v>
      </c>
      <c r="D54" t="s">
        <v>616</v>
      </c>
      <c r="E54" t="s">
        <v>622</v>
      </c>
      <c r="F54" t="s">
        <v>625</v>
      </c>
      <c r="G54" s="4">
        <v>6</v>
      </c>
      <c r="H54" s="6">
        <v>0</v>
      </c>
      <c r="I54" s="4">
        <v>1560</v>
      </c>
      <c r="J54" s="4">
        <v>234</v>
      </c>
    </row>
    <row r="55" spans="1:10" x14ac:dyDescent="0.35">
      <c r="A55" t="s">
        <v>63</v>
      </c>
      <c r="B55" s="2">
        <v>45698</v>
      </c>
      <c r="C55" t="s">
        <v>516</v>
      </c>
      <c r="D55" t="s">
        <v>618</v>
      </c>
      <c r="E55" t="s">
        <v>620</v>
      </c>
      <c r="F55" t="s">
        <v>626</v>
      </c>
      <c r="G55" s="4">
        <v>7</v>
      </c>
      <c r="H55" s="6">
        <v>0.1</v>
      </c>
      <c r="I55" s="4">
        <v>157.5</v>
      </c>
      <c r="J55" s="4">
        <v>36.22</v>
      </c>
    </row>
    <row r="56" spans="1:10" x14ac:dyDescent="0.35">
      <c r="A56" t="s">
        <v>64</v>
      </c>
      <c r="B56" s="2">
        <v>45699</v>
      </c>
      <c r="C56" t="s">
        <v>546</v>
      </c>
      <c r="D56" t="s">
        <v>613</v>
      </c>
      <c r="E56" t="s">
        <v>620</v>
      </c>
      <c r="F56" t="s">
        <v>625</v>
      </c>
      <c r="G56" s="4">
        <v>3</v>
      </c>
      <c r="H56" s="6">
        <v>0.05</v>
      </c>
      <c r="I56" s="4">
        <v>627</v>
      </c>
      <c r="J56" s="4">
        <v>87.78</v>
      </c>
    </row>
    <row r="57" spans="1:10" x14ac:dyDescent="0.35">
      <c r="A57" t="s">
        <v>65</v>
      </c>
      <c r="B57" s="2">
        <v>45700</v>
      </c>
      <c r="C57" t="s">
        <v>546</v>
      </c>
      <c r="D57" t="s">
        <v>613</v>
      </c>
      <c r="E57" t="s">
        <v>620</v>
      </c>
      <c r="F57" t="s">
        <v>623</v>
      </c>
      <c r="G57" s="4">
        <v>4</v>
      </c>
      <c r="H57" s="6">
        <v>0.05</v>
      </c>
      <c r="I57" s="4">
        <v>836</v>
      </c>
      <c r="J57" s="4">
        <v>117.04</v>
      </c>
    </row>
    <row r="58" spans="1:10" x14ac:dyDescent="0.35">
      <c r="A58" t="s">
        <v>66</v>
      </c>
      <c r="B58" s="2">
        <v>45701</v>
      </c>
      <c r="C58" t="s">
        <v>554</v>
      </c>
      <c r="D58" t="s">
        <v>611</v>
      </c>
      <c r="E58" t="s">
        <v>620</v>
      </c>
      <c r="F58" t="s">
        <v>626</v>
      </c>
      <c r="G58" s="4">
        <v>8</v>
      </c>
      <c r="H58" s="6">
        <v>0.1</v>
      </c>
      <c r="I58" s="4">
        <v>4680</v>
      </c>
      <c r="J58" s="4">
        <v>748.8</v>
      </c>
    </row>
    <row r="59" spans="1:10" x14ac:dyDescent="0.35">
      <c r="A59" t="s">
        <v>67</v>
      </c>
      <c r="B59" s="2">
        <v>45703</v>
      </c>
      <c r="C59" t="s">
        <v>547</v>
      </c>
      <c r="D59" t="s">
        <v>611</v>
      </c>
      <c r="E59" t="s">
        <v>620</v>
      </c>
      <c r="F59" t="s">
        <v>626</v>
      </c>
      <c r="G59" s="4">
        <v>4</v>
      </c>
      <c r="H59" s="6">
        <v>0</v>
      </c>
      <c r="I59" s="4">
        <v>2600</v>
      </c>
      <c r="J59" s="4">
        <v>416</v>
      </c>
    </row>
    <row r="60" spans="1:10" x14ac:dyDescent="0.35">
      <c r="A60" t="s">
        <v>68</v>
      </c>
      <c r="B60" s="2">
        <v>45704</v>
      </c>
      <c r="C60" t="s">
        <v>555</v>
      </c>
      <c r="D60" t="s">
        <v>615</v>
      </c>
      <c r="E60" t="s">
        <v>622</v>
      </c>
      <c r="F60" t="s">
        <v>623</v>
      </c>
      <c r="G60" s="4">
        <v>1</v>
      </c>
      <c r="H60" s="6">
        <v>0.05</v>
      </c>
      <c r="I60" s="4">
        <v>171</v>
      </c>
      <c r="J60" s="4">
        <v>30.78</v>
      </c>
    </row>
    <row r="61" spans="1:10" x14ac:dyDescent="0.35">
      <c r="A61" t="s">
        <v>69</v>
      </c>
      <c r="B61" s="2">
        <v>45705</v>
      </c>
      <c r="C61" t="s">
        <v>517</v>
      </c>
      <c r="D61" t="s">
        <v>613</v>
      </c>
      <c r="E61" t="s">
        <v>620</v>
      </c>
      <c r="F61" t="s">
        <v>624</v>
      </c>
      <c r="G61" s="4">
        <v>1</v>
      </c>
      <c r="H61" s="6">
        <v>0.05</v>
      </c>
      <c r="I61" s="4">
        <v>209</v>
      </c>
      <c r="J61" s="4">
        <v>29.26</v>
      </c>
    </row>
    <row r="62" spans="1:10" x14ac:dyDescent="0.35">
      <c r="A62" t="s">
        <v>70</v>
      </c>
      <c r="B62" s="2">
        <v>45706</v>
      </c>
      <c r="C62" t="s">
        <v>541</v>
      </c>
      <c r="D62" t="s">
        <v>613</v>
      </c>
      <c r="E62" t="s">
        <v>620</v>
      </c>
      <c r="F62" t="s">
        <v>626</v>
      </c>
      <c r="G62" s="4">
        <v>3</v>
      </c>
      <c r="H62" s="6">
        <v>0.05</v>
      </c>
      <c r="I62" s="4">
        <v>627</v>
      </c>
      <c r="J62" s="4">
        <v>87.78</v>
      </c>
    </row>
    <row r="63" spans="1:10" x14ac:dyDescent="0.35">
      <c r="A63" t="s">
        <v>71</v>
      </c>
      <c r="B63" s="2">
        <v>45708</v>
      </c>
      <c r="C63" t="s">
        <v>530</v>
      </c>
      <c r="D63" t="s">
        <v>616</v>
      </c>
      <c r="E63" t="s">
        <v>622</v>
      </c>
      <c r="F63" t="s">
        <v>623</v>
      </c>
      <c r="G63" s="4">
        <v>3</v>
      </c>
      <c r="H63" s="6">
        <v>0</v>
      </c>
      <c r="I63" s="4">
        <v>780</v>
      </c>
      <c r="J63" s="4">
        <v>117</v>
      </c>
    </row>
    <row r="64" spans="1:10" x14ac:dyDescent="0.35">
      <c r="A64" t="s">
        <v>72</v>
      </c>
      <c r="B64" s="2">
        <v>45708</v>
      </c>
      <c r="C64" t="s">
        <v>556</v>
      </c>
      <c r="D64" t="s">
        <v>612</v>
      </c>
      <c r="E64" t="s">
        <v>621</v>
      </c>
      <c r="F64" t="s">
        <v>623</v>
      </c>
      <c r="G64" s="4">
        <v>2</v>
      </c>
      <c r="H64" s="6">
        <v>0.05</v>
      </c>
      <c r="I64" s="4">
        <v>22.8</v>
      </c>
      <c r="J64" s="4">
        <v>6.38</v>
      </c>
    </row>
    <row r="65" spans="1:10" x14ac:dyDescent="0.35">
      <c r="A65" t="s">
        <v>73</v>
      </c>
      <c r="B65" s="2">
        <v>45708</v>
      </c>
      <c r="C65" t="s">
        <v>549</v>
      </c>
      <c r="D65" t="s">
        <v>610</v>
      </c>
      <c r="E65" t="s">
        <v>620</v>
      </c>
      <c r="F65" t="s">
        <v>623</v>
      </c>
      <c r="G65" s="4">
        <v>6</v>
      </c>
      <c r="H65" s="6">
        <v>0.1</v>
      </c>
      <c r="I65" s="4">
        <v>459</v>
      </c>
      <c r="J65" s="4">
        <v>87.21</v>
      </c>
    </row>
    <row r="66" spans="1:10" x14ac:dyDescent="0.35">
      <c r="A66" t="s">
        <v>74</v>
      </c>
      <c r="B66" s="2">
        <v>45709</v>
      </c>
      <c r="C66" t="s">
        <v>557</v>
      </c>
      <c r="D66" t="s">
        <v>613</v>
      </c>
      <c r="E66" t="s">
        <v>620</v>
      </c>
      <c r="F66" t="s">
        <v>625</v>
      </c>
      <c r="G66" s="4">
        <v>6</v>
      </c>
      <c r="H66" s="6">
        <v>0.1</v>
      </c>
      <c r="I66" s="4">
        <v>1188</v>
      </c>
      <c r="J66" s="4">
        <v>166.32</v>
      </c>
    </row>
    <row r="67" spans="1:10" x14ac:dyDescent="0.35">
      <c r="A67" t="s">
        <v>75</v>
      </c>
      <c r="B67" s="2">
        <v>45710</v>
      </c>
      <c r="C67" t="s">
        <v>511</v>
      </c>
      <c r="D67" t="s">
        <v>613</v>
      </c>
      <c r="E67" t="s">
        <v>620</v>
      </c>
      <c r="F67" t="s">
        <v>625</v>
      </c>
      <c r="G67" s="4">
        <v>6</v>
      </c>
      <c r="H67" s="6">
        <v>0</v>
      </c>
      <c r="I67" s="4">
        <v>1320</v>
      </c>
      <c r="J67" s="4">
        <v>184.8</v>
      </c>
    </row>
    <row r="68" spans="1:10" x14ac:dyDescent="0.35">
      <c r="A68" t="s">
        <v>76</v>
      </c>
      <c r="B68" s="2">
        <v>45710</v>
      </c>
      <c r="C68" t="s">
        <v>558</v>
      </c>
      <c r="D68" t="s">
        <v>613</v>
      </c>
      <c r="E68" t="s">
        <v>620</v>
      </c>
      <c r="F68" t="s">
        <v>626</v>
      </c>
      <c r="G68" s="4">
        <v>7</v>
      </c>
      <c r="H68" s="6">
        <v>0.15</v>
      </c>
      <c r="I68" s="4">
        <v>1309</v>
      </c>
      <c r="J68" s="4">
        <v>183.26</v>
      </c>
    </row>
    <row r="69" spans="1:10" x14ac:dyDescent="0.35">
      <c r="A69" t="s">
        <v>77</v>
      </c>
      <c r="B69" s="2">
        <v>45710</v>
      </c>
      <c r="C69" t="s">
        <v>525</v>
      </c>
      <c r="D69" t="s">
        <v>610</v>
      </c>
      <c r="E69" t="s">
        <v>620</v>
      </c>
      <c r="F69" t="s">
        <v>624</v>
      </c>
      <c r="G69" s="4">
        <v>4</v>
      </c>
      <c r="H69" s="6">
        <v>0.05</v>
      </c>
      <c r="I69" s="4">
        <v>323</v>
      </c>
      <c r="J69" s="4">
        <v>61.37</v>
      </c>
    </row>
    <row r="70" spans="1:10" x14ac:dyDescent="0.35">
      <c r="A70" t="s">
        <v>78</v>
      </c>
      <c r="B70" s="2">
        <v>45711</v>
      </c>
      <c r="C70" t="s">
        <v>559</v>
      </c>
      <c r="D70" t="s">
        <v>611</v>
      </c>
      <c r="E70" t="s">
        <v>620</v>
      </c>
      <c r="F70" t="s">
        <v>625</v>
      </c>
      <c r="G70" s="4">
        <v>5</v>
      </c>
      <c r="H70" s="6">
        <v>0.1</v>
      </c>
      <c r="I70" s="4">
        <v>2925</v>
      </c>
      <c r="J70" s="4">
        <v>468</v>
      </c>
    </row>
    <row r="71" spans="1:10" x14ac:dyDescent="0.35">
      <c r="A71" t="s">
        <v>79</v>
      </c>
      <c r="B71" s="2">
        <v>45711</v>
      </c>
      <c r="C71" t="s">
        <v>560</v>
      </c>
      <c r="D71" t="s">
        <v>616</v>
      </c>
      <c r="E71" t="s">
        <v>622</v>
      </c>
      <c r="F71" t="s">
        <v>624</v>
      </c>
      <c r="G71" s="4">
        <v>5</v>
      </c>
      <c r="H71" s="6">
        <v>0.1</v>
      </c>
      <c r="I71" s="4">
        <v>1170</v>
      </c>
      <c r="J71" s="4">
        <v>175.5</v>
      </c>
    </row>
    <row r="72" spans="1:10" x14ac:dyDescent="0.35">
      <c r="A72" t="s">
        <v>80</v>
      </c>
      <c r="B72" s="2">
        <v>45711</v>
      </c>
      <c r="C72" t="s">
        <v>556</v>
      </c>
      <c r="D72" t="s">
        <v>613</v>
      </c>
      <c r="E72" t="s">
        <v>620</v>
      </c>
      <c r="F72" t="s">
        <v>626</v>
      </c>
      <c r="G72" s="4">
        <v>4</v>
      </c>
      <c r="H72" s="6">
        <v>0</v>
      </c>
      <c r="I72" s="4">
        <v>880</v>
      </c>
      <c r="J72" s="4">
        <v>123.2</v>
      </c>
    </row>
    <row r="73" spans="1:10" x14ac:dyDescent="0.35">
      <c r="A73" t="s">
        <v>81</v>
      </c>
      <c r="B73" s="2">
        <v>45712</v>
      </c>
      <c r="C73" t="s">
        <v>510</v>
      </c>
      <c r="D73" t="s">
        <v>617</v>
      </c>
      <c r="E73" t="s">
        <v>620</v>
      </c>
      <c r="F73" t="s">
        <v>626</v>
      </c>
      <c r="G73" s="4">
        <v>4</v>
      </c>
      <c r="H73" s="6">
        <v>0</v>
      </c>
      <c r="I73" s="4">
        <v>180</v>
      </c>
      <c r="J73" s="4">
        <v>36</v>
      </c>
    </row>
    <row r="74" spans="1:10" x14ac:dyDescent="0.35">
      <c r="A74" t="s">
        <v>82</v>
      </c>
      <c r="B74" s="2">
        <v>45712</v>
      </c>
      <c r="C74" t="s">
        <v>559</v>
      </c>
      <c r="D74" t="s">
        <v>611</v>
      </c>
      <c r="E74" t="s">
        <v>620</v>
      </c>
      <c r="F74" t="s">
        <v>624</v>
      </c>
      <c r="G74" s="4">
        <v>8</v>
      </c>
      <c r="H74" s="6">
        <v>0</v>
      </c>
      <c r="I74" s="4">
        <v>5200</v>
      </c>
      <c r="J74" s="4">
        <v>832</v>
      </c>
    </row>
    <row r="75" spans="1:10" x14ac:dyDescent="0.35">
      <c r="A75" t="s">
        <v>83</v>
      </c>
      <c r="B75" s="2">
        <v>45713</v>
      </c>
      <c r="C75" t="s">
        <v>561</v>
      </c>
      <c r="D75" t="s">
        <v>613</v>
      </c>
      <c r="E75" t="s">
        <v>620</v>
      </c>
      <c r="F75" t="s">
        <v>624</v>
      </c>
      <c r="G75" s="4">
        <v>5</v>
      </c>
      <c r="H75" s="6">
        <v>0</v>
      </c>
      <c r="I75" s="4">
        <v>1100</v>
      </c>
      <c r="J75" s="4">
        <v>154</v>
      </c>
    </row>
    <row r="76" spans="1:10" x14ac:dyDescent="0.35">
      <c r="A76" t="s">
        <v>84</v>
      </c>
      <c r="B76" s="2">
        <v>45714</v>
      </c>
      <c r="C76" t="s">
        <v>562</v>
      </c>
      <c r="D76" t="s">
        <v>615</v>
      </c>
      <c r="E76" t="s">
        <v>622</v>
      </c>
      <c r="F76" t="s">
        <v>623</v>
      </c>
      <c r="G76" s="4">
        <v>4</v>
      </c>
      <c r="H76" s="6">
        <v>0</v>
      </c>
      <c r="I76" s="4">
        <v>720</v>
      </c>
      <c r="J76" s="4">
        <v>129.6</v>
      </c>
    </row>
    <row r="77" spans="1:10" x14ac:dyDescent="0.35">
      <c r="A77" t="s">
        <v>85</v>
      </c>
      <c r="B77" s="2">
        <v>45716</v>
      </c>
      <c r="C77" t="s">
        <v>513</v>
      </c>
      <c r="D77" t="s">
        <v>609</v>
      </c>
      <c r="E77" t="s">
        <v>619</v>
      </c>
      <c r="F77" t="s">
        <v>625</v>
      </c>
      <c r="G77" s="4">
        <v>6</v>
      </c>
      <c r="H77" s="6">
        <v>0</v>
      </c>
      <c r="I77" s="4">
        <v>330</v>
      </c>
      <c r="J77" s="4">
        <v>72.599999999999994</v>
      </c>
    </row>
    <row r="78" spans="1:10" x14ac:dyDescent="0.35">
      <c r="A78" t="s">
        <v>86</v>
      </c>
      <c r="B78" s="2">
        <v>45716</v>
      </c>
      <c r="C78" t="s">
        <v>563</v>
      </c>
      <c r="D78" t="s">
        <v>611</v>
      </c>
      <c r="E78" t="s">
        <v>620</v>
      </c>
      <c r="F78" t="s">
        <v>626</v>
      </c>
      <c r="G78" s="4">
        <v>3</v>
      </c>
      <c r="H78" s="6">
        <v>0</v>
      </c>
      <c r="I78" s="4">
        <v>1950</v>
      </c>
      <c r="J78" s="4">
        <v>312</v>
      </c>
    </row>
    <row r="79" spans="1:10" x14ac:dyDescent="0.35">
      <c r="A79" t="s">
        <v>87</v>
      </c>
      <c r="B79" s="2">
        <v>45717</v>
      </c>
      <c r="C79" t="s">
        <v>523</v>
      </c>
      <c r="D79" t="s">
        <v>617</v>
      </c>
      <c r="E79" t="s">
        <v>620</v>
      </c>
      <c r="F79" t="s">
        <v>624</v>
      </c>
      <c r="G79" s="4">
        <v>4</v>
      </c>
      <c r="H79" s="6">
        <v>0.1</v>
      </c>
      <c r="I79" s="4">
        <v>162</v>
      </c>
      <c r="J79" s="4">
        <v>32.4</v>
      </c>
    </row>
    <row r="80" spans="1:10" x14ac:dyDescent="0.35">
      <c r="A80" t="s">
        <v>88</v>
      </c>
      <c r="B80" s="2">
        <v>45718</v>
      </c>
      <c r="C80" t="s">
        <v>564</v>
      </c>
      <c r="D80" t="s">
        <v>618</v>
      </c>
      <c r="E80" t="s">
        <v>620</v>
      </c>
      <c r="F80" t="s">
        <v>623</v>
      </c>
      <c r="G80" s="4">
        <v>5</v>
      </c>
      <c r="H80" s="6">
        <v>0.05</v>
      </c>
      <c r="I80" s="4">
        <v>118.75</v>
      </c>
      <c r="J80" s="4">
        <v>27.31</v>
      </c>
    </row>
    <row r="81" spans="1:10" x14ac:dyDescent="0.35">
      <c r="A81" t="s">
        <v>89</v>
      </c>
      <c r="B81" s="2">
        <v>45719</v>
      </c>
      <c r="C81" t="s">
        <v>565</v>
      </c>
      <c r="D81" t="s">
        <v>611</v>
      </c>
      <c r="E81" t="s">
        <v>620</v>
      </c>
      <c r="F81" t="s">
        <v>623</v>
      </c>
      <c r="G81" s="4">
        <v>6</v>
      </c>
      <c r="H81" s="6">
        <v>0.05</v>
      </c>
      <c r="I81" s="4">
        <v>3705</v>
      </c>
      <c r="J81" s="4">
        <v>592.79999999999995</v>
      </c>
    </row>
    <row r="82" spans="1:10" x14ac:dyDescent="0.35">
      <c r="A82" t="s">
        <v>90</v>
      </c>
      <c r="B82" s="2">
        <v>45720</v>
      </c>
      <c r="C82" t="s">
        <v>523</v>
      </c>
      <c r="D82" t="s">
        <v>615</v>
      </c>
      <c r="E82" t="s">
        <v>622</v>
      </c>
      <c r="F82" t="s">
        <v>625</v>
      </c>
      <c r="G82" s="4">
        <v>5</v>
      </c>
      <c r="H82" s="6">
        <v>0</v>
      </c>
      <c r="I82" s="4">
        <v>900</v>
      </c>
      <c r="J82" s="4">
        <v>162</v>
      </c>
    </row>
    <row r="83" spans="1:10" x14ac:dyDescent="0.35">
      <c r="A83" t="s">
        <v>91</v>
      </c>
      <c r="B83" s="2">
        <v>45720</v>
      </c>
      <c r="C83" t="s">
        <v>566</v>
      </c>
      <c r="D83" t="s">
        <v>610</v>
      </c>
      <c r="E83" t="s">
        <v>620</v>
      </c>
      <c r="F83" t="s">
        <v>625</v>
      </c>
      <c r="G83" s="4">
        <v>2</v>
      </c>
      <c r="H83" s="6">
        <v>0.05</v>
      </c>
      <c r="I83" s="4">
        <v>161.5</v>
      </c>
      <c r="J83" s="4">
        <v>30.68</v>
      </c>
    </row>
    <row r="84" spans="1:10" x14ac:dyDescent="0.35">
      <c r="A84" t="s">
        <v>92</v>
      </c>
      <c r="B84" s="2">
        <v>45720</v>
      </c>
      <c r="C84" t="s">
        <v>567</v>
      </c>
      <c r="D84" t="s">
        <v>616</v>
      </c>
      <c r="E84" t="s">
        <v>622</v>
      </c>
      <c r="F84" t="s">
        <v>623</v>
      </c>
      <c r="G84" s="4">
        <v>2</v>
      </c>
      <c r="H84" s="6">
        <v>0.1</v>
      </c>
      <c r="I84" s="4">
        <v>468</v>
      </c>
      <c r="J84" s="4">
        <v>70.2</v>
      </c>
    </row>
    <row r="85" spans="1:10" x14ac:dyDescent="0.35">
      <c r="A85" t="s">
        <v>93</v>
      </c>
      <c r="B85" s="2">
        <v>45721</v>
      </c>
      <c r="C85" t="s">
        <v>568</v>
      </c>
      <c r="D85" t="s">
        <v>618</v>
      </c>
      <c r="E85" t="s">
        <v>620</v>
      </c>
      <c r="F85" t="s">
        <v>625</v>
      </c>
      <c r="G85" s="4">
        <v>6</v>
      </c>
      <c r="H85" s="6">
        <v>0.05</v>
      </c>
      <c r="I85" s="4">
        <v>142.5</v>
      </c>
      <c r="J85" s="4">
        <v>32.78</v>
      </c>
    </row>
    <row r="86" spans="1:10" x14ac:dyDescent="0.35">
      <c r="A86" t="s">
        <v>94</v>
      </c>
      <c r="B86" s="2">
        <v>45722</v>
      </c>
      <c r="C86" t="s">
        <v>527</v>
      </c>
      <c r="D86" t="s">
        <v>611</v>
      </c>
      <c r="E86" t="s">
        <v>620</v>
      </c>
      <c r="F86" t="s">
        <v>625</v>
      </c>
      <c r="G86" s="4">
        <v>6</v>
      </c>
      <c r="H86" s="6">
        <v>0.15</v>
      </c>
      <c r="I86" s="4">
        <v>3315</v>
      </c>
      <c r="J86" s="4">
        <v>530.4</v>
      </c>
    </row>
    <row r="87" spans="1:10" x14ac:dyDescent="0.35">
      <c r="A87" t="s">
        <v>95</v>
      </c>
      <c r="B87" s="2">
        <v>45722</v>
      </c>
      <c r="C87" t="s">
        <v>518</v>
      </c>
      <c r="D87" t="s">
        <v>618</v>
      </c>
      <c r="E87" t="s">
        <v>620</v>
      </c>
      <c r="F87" t="s">
        <v>623</v>
      </c>
      <c r="G87" s="4">
        <v>8</v>
      </c>
      <c r="H87" s="6">
        <v>0.1</v>
      </c>
      <c r="I87" s="4">
        <v>180</v>
      </c>
      <c r="J87" s="4">
        <v>41.4</v>
      </c>
    </row>
    <row r="88" spans="1:10" x14ac:dyDescent="0.35">
      <c r="A88" t="s">
        <v>96</v>
      </c>
      <c r="B88" s="2">
        <v>45723</v>
      </c>
      <c r="C88" t="s">
        <v>559</v>
      </c>
      <c r="D88" t="s">
        <v>618</v>
      </c>
      <c r="E88" t="s">
        <v>620</v>
      </c>
      <c r="F88" t="s">
        <v>623</v>
      </c>
      <c r="G88" s="4">
        <v>1</v>
      </c>
      <c r="H88" s="6">
        <v>0.1</v>
      </c>
      <c r="I88" s="4">
        <v>22.5</v>
      </c>
      <c r="J88" s="4">
        <v>5.18</v>
      </c>
    </row>
    <row r="89" spans="1:10" x14ac:dyDescent="0.35">
      <c r="A89" t="s">
        <v>97</v>
      </c>
      <c r="B89" s="2">
        <v>45723</v>
      </c>
      <c r="C89" t="s">
        <v>569</v>
      </c>
      <c r="D89" t="s">
        <v>616</v>
      </c>
      <c r="E89" t="s">
        <v>622</v>
      </c>
      <c r="F89" t="s">
        <v>624</v>
      </c>
      <c r="G89" s="4">
        <v>5</v>
      </c>
      <c r="H89" s="6">
        <v>0.1</v>
      </c>
      <c r="I89" s="4">
        <v>1170</v>
      </c>
      <c r="J89" s="4">
        <v>175.5</v>
      </c>
    </row>
    <row r="90" spans="1:10" x14ac:dyDescent="0.35">
      <c r="A90" t="s">
        <v>98</v>
      </c>
      <c r="B90" s="2">
        <v>45724</v>
      </c>
      <c r="C90" t="s">
        <v>526</v>
      </c>
      <c r="D90" t="s">
        <v>609</v>
      </c>
      <c r="E90" t="s">
        <v>619</v>
      </c>
      <c r="F90" t="s">
        <v>625</v>
      </c>
      <c r="G90" s="4">
        <v>2</v>
      </c>
      <c r="H90" s="6">
        <v>0</v>
      </c>
      <c r="I90" s="4">
        <v>110</v>
      </c>
      <c r="J90" s="4">
        <v>24.2</v>
      </c>
    </row>
    <row r="91" spans="1:10" x14ac:dyDescent="0.35">
      <c r="A91" t="s">
        <v>99</v>
      </c>
      <c r="B91" s="2">
        <v>45724</v>
      </c>
      <c r="C91" t="s">
        <v>569</v>
      </c>
      <c r="D91" t="s">
        <v>614</v>
      </c>
      <c r="E91" t="s">
        <v>621</v>
      </c>
      <c r="F91" t="s">
        <v>624</v>
      </c>
      <c r="G91" s="4">
        <v>6</v>
      </c>
      <c r="H91" s="6">
        <v>0</v>
      </c>
      <c r="I91" s="4">
        <v>48</v>
      </c>
      <c r="J91" s="4">
        <v>14.4</v>
      </c>
    </row>
    <row r="92" spans="1:10" x14ac:dyDescent="0.35">
      <c r="A92" t="s">
        <v>100</v>
      </c>
      <c r="B92" s="2">
        <v>45725</v>
      </c>
      <c r="C92" t="s">
        <v>570</v>
      </c>
      <c r="D92" t="s">
        <v>615</v>
      </c>
      <c r="E92" t="s">
        <v>622</v>
      </c>
      <c r="F92" t="s">
        <v>623</v>
      </c>
      <c r="G92" s="4">
        <v>1</v>
      </c>
      <c r="H92" s="6">
        <v>0</v>
      </c>
      <c r="I92" s="4">
        <v>180</v>
      </c>
      <c r="J92" s="4">
        <v>32.4</v>
      </c>
    </row>
    <row r="93" spans="1:10" x14ac:dyDescent="0.35">
      <c r="A93" t="s">
        <v>101</v>
      </c>
      <c r="B93" s="2">
        <v>45725</v>
      </c>
      <c r="C93" t="s">
        <v>534</v>
      </c>
      <c r="D93" t="s">
        <v>615</v>
      </c>
      <c r="E93" t="s">
        <v>622</v>
      </c>
      <c r="F93" t="s">
        <v>625</v>
      </c>
      <c r="G93" s="4">
        <v>1</v>
      </c>
      <c r="H93" s="6">
        <v>0.05</v>
      </c>
      <c r="I93" s="4">
        <v>171</v>
      </c>
      <c r="J93" s="4">
        <v>30.78</v>
      </c>
    </row>
    <row r="94" spans="1:10" x14ac:dyDescent="0.35">
      <c r="A94" t="s">
        <v>102</v>
      </c>
      <c r="B94" s="2">
        <v>45726</v>
      </c>
      <c r="C94" t="s">
        <v>510</v>
      </c>
      <c r="D94" t="s">
        <v>618</v>
      </c>
      <c r="E94" t="s">
        <v>620</v>
      </c>
      <c r="F94" t="s">
        <v>623</v>
      </c>
      <c r="G94" s="4">
        <v>3</v>
      </c>
      <c r="H94" s="6">
        <v>0</v>
      </c>
      <c r="I94" s="4">
        <v>75</v>
      </c>
      <c r="J94" s="4">
        <v>17.25</v>
      </c>
    </row>
    <row r="95" spans="1:10" x14ac:dyDescent="0.35">
      <c r="A95" t="s">
        <v>103</v>
      </c>
      <c r="B95" s="2">
        <v>45726</v>
      </c>
      <c r="C95" t="s">
        <v>551</v>
      </c>
      <c r="D95" t="s">
        <v>612</v>
      </c>
      <c r="E95" t="s">
        <v>621</v>
      </c>
      <c r="F95" t="s">
        <v>625</v>
      </c>
      <c r="G95" s="4">
        <v>8</v>
      </c>
      <c r="H95" s="6">
        <v>0</v>
      </c>
      <c r="I95" s="4">
        <v>96</v>
      </c>
      <c r="J95" s="4">
        <v>26.88</v>
      </c>
    </row>
    <row r="96" spans="1:10" x14ac:dyDescent="0.35">
      <c r="A96" t="s">
        <v>104</v>
      </c>
      <c r="B96" s="2">
        <v>45730</v>
      </c>
      <c r="C96" t="s">
        <v>563</v>
      </c>
      <c r="D96" t="s">
        <v>614</v>
      </c>
      <c r="E96" t="s">
        <v>621</v>
      </c>
      <c r="F96" t="s">
        <v>623</v>
      </c>
      <c r="G96" s="4">
        <v>7</v>
      </c>
      <c r="H96" s="6">
        <v>0.15</v>
      </c>
      <c r="I96" s="4">
        <v>47.6</v>
      </c>
      <c r="J96" s="4">
        <v>14.28</v>
      </c>
    </row>
    <row r="97" spans="1:10" x14ac:dyDescent="0.35">
      <c r="A97" t="s">
        <v>105</v>
      </c>
      <c r="B97" s="2">
        <v>45730</v>
      </c>
      <c r="C97" t="s">
        <v>571</v>
      </c>
      <c r="D97" t="s">
        <v>611</v>
      </c>
      <c r="E97" t="s">
        <v>620</v>
      </c>
      <c r="F97" t="s">
        <v>626</v>
      </c>
      <c r="G97" s="4">
        <v>4</v>
      </c>
      <c r="H97" s="6">
        <v>0</v>
      </c>
      <c r="I97" s="4">
        <v>2600</v>
      </c>
      <c r="J97" s="4">
        <v>416</v>
      </c>
    </row>
    <row r="98" spans="1:10" x14ac:dyDescent="0.35">
      <c r="A98" t="s">
        <v>106</v>
      </c>
      <c r="B98" s="2">
        <v>45731</v>
      </c>
      <c r="C98" t="s">
        <v>556</v>
      </c>
      <c r="D98" t="s">
        <v>611</v>
      </c>
      <c r="E98" t="s">
        <v>620</v>
      </c>
      <c r="F98" t="s">
        <v>626</v>
      </c>
      <c r="G98" s="4">
        <v>5</v>
      </c>
      <c r="H98" s="6">
        <v>0.05</v>
      </c>
      <c r="I98" s="4">
        <v>3087.5</v>
      </c>
      <c r="J98" s="4">
        <v>494</v>
      </c>
    </row>
    <row r="99" spans="1:10" x14ac:dyDescent="0.35">
      <c r="A99" t="s">
        <v>107</v>
      </c>
      <c r="B99" s="2">
        <v>45732</v>
      </c>
      <c r="C99" t="s">
        <v>547</v>
      </c>
      <c r="D99" t="s">
        <v>615</v>
      </c>
      <c r="E99" t="s">
        <v>622</v>
      </c>
      <c r="F99" t="s">
        <v>626</v>
      </c>
      <c r="G99" s="4">
        <v>4</v>
      </c>
      <c r="H99" s="6">
        <v>0.1</v>
      </c>
      <c r="I99" s="4">
        <v>648</v>
      </c>
      <c r="J99" s="4">
        <v>116.64</v>
      </c>
    </row>
    <row r="100" spans="1:10" x14ac:dyDescent="0.35">
      <c r="A100" t="s">
        <v>108</v>
      </c>
      <c r="B100" s="2">
        <v>45733</v>
      </c>
      <c r="C100" t="s">
        <v>572</v>
      </c>
      <c r="D100" t="s">
        <v>610</v>
      </c>
      <c r="E100" t="s">
        <v>620</v>
      </c>
      <c r="F100" t="s">
        <v>623</v>
      </c>
      <c r="G100" s="4">
        <v>3</v>
      </c>
      <c r="H100" s="6">
        <v>0.15</v>
      </c>
      <c r="I100" s="4">
        <v>216.75</v>
      </c>
      <c r="J100" s="4">
        <v>41.18</v>
      </c>
    </row>
    <row r="101" spans="1:10" x14ac:dyDescent="0.35">
      <c r="A101" t="s">
        <v>109</v>
      </c>
      <c r="B101" s="2">
        <v>45734</v>
      </c>
      <c r="C101" t="s">
        <v>573</v>
      </c>
      <c r="D101" t="s">
        <v>610</v>
      </c>
      <c r="E101" t="s">
        <v>620</v>
      </c>
      <c r="F101" t="s">
        <v>624</v>
      </c>
      <c r="G101" s="4">
        <v>5</v>
      </c>
      <c r="H101" s="6">
        <v>0.1</v>
      </c>
      <c r="I101" s="4">
        <v>382.5</v>
      </c>
      <c r="J101" s="4">
        <v>72.680000000000007</v>
      </c>
    </row>
    <row r="102" spans="1:10" x14ac:dyDescent="0.35">
      <c r="A102" t="s">
        <v>110</v>
      </c>
      <c r="B102" s="2">
        <v>45734</v>
      </c>
      <c r="C102" t="s">
        <v>538</v>
      </c>
      <c r="D102" t="s">
        <v>613</v>
      </c>
      <c r="E102" t="s">
        <v>620</v>
      </c>
      <c r="F102" t="s">
        <v>626</v>
      </c>
      <c r="G102" s="4">
        <v>1</v>
      </c>
      <c r="H102" s="6">
        <v>0</v>
      </c>
      <c r="I102" s="4">
        <v>220</v>
      </c>
      <c r="J102" s="4">
        <v>30.8</v>
      </c>
    </row>
    <row r="103" spans="1:10" x14ac:dyDescent="0.35">
      <c r="A103" t="s">
        <v>111</v>
      </c>
      <c r="B103" s="2">
        <v>45735</v>
      </c>
      <c r="C103" t="s">
        <v>573</v>
      </c>
      <c r="D103" t="s">
        <v>614</v>
      </c>
      <c r="E103" t="s">
        <v>621</v>
      </c>
      <c r="F103" t="s">
        <v>626</v>
      </c>
      <c r="G103" s="4">
        <v>7</v>
      </c>
      <c r="H103" s="6">
        <v>0.05</v>
      </c>
      <c r="I103" s="4">
        <v>53.2</v>
      </c>
      <c r="J103" s="4">
        <v>15.96</v>
      </c>
    </row>
    <row r="104" spans="1:10" x14ac:dyDescent="0.35">
      <c r="A104" t="s">
        <v>112</v>
      </c>
      <c r="B104" s="2">
        <v>45735</v>
      </c>
      <c r="C104" t="s">
        <v>528</v>
      </c>
      <c r="D104" t="s">
        <v>618</v>
      </c>
      <c r="E104" t="s">
        <v>620</v>
      </c>
      <c r="F104" t="s">
        <v>626</v>
      </c>
      <c r="G104" s="4">
        <v>4</v>
      </c>
      <c r="H104" s="6">
        <v>0.05</v>
      </c>
      <c r="I104" s="4">
        <v>95</v>
      </c>
      <c r="J104" s="4">
        <v>21.85</v>
      </c>
    </row>
    <row r="105" spans="1:10" x14ac:dyDescent="0.35">
      <c r="A105" t="s">
        <v>113</v>
      </c>
      <c r="B105" s="2">
        <v>45736</v>
      </c>
      <c r="C105" t="s">
        <v>569</v>
      </c>
      <c r="D105" t="s">
        <v>611</v>
      </c>
      <c r="E105" t="s">
        <v>620</v>
      </c>
      <c r="F105" t="s">
        <v>626</v>
      </c>
      <c r="G105" s="4">
        <v>6</v>
      </c>
      <c r="H105" s="6">
        <v>0</v>
      </c>
      <c r="I105" s="4">
        <v>3900</v>
      </c>
      <c r="J105" s="4">
        <v>624</v>
      </c>
    </row>
    <row r="106" spans="1:10" x14ac:dyDescent="0.35">
      <c r="A106" t="s">
        <v>114</v>
      </c>
      <c r="B106" s="2">
        <v>45737</v>
      </c>
      <c r="C106" t="s">
        <v>571</v>
      </c>
      <c r="D106" t="s">
        <v>617</v>
      </c>
      <c r="E106" t="s">
        <v>620</v>
      </c>
      <c r="F106" t="s">
        <v>626</v>
      </c>
      <c r="G106" s="4">
        <v>7</v>
      </c>
      <c r="H106" s="6">
        <v>0</v>
      </c>
      <c r="I106" s="4">
        <v>315</v>
      </c>
      <c r="J106" s="4">
        <v>63</v>
      </c>
    </row>
    <row r="107" spans="1:10" x14ac:dyDescent="0.35">
      <c r="A107" t="s">
        <v>115</v>
      </c>
      <c r="B107" s="2">
        <v>45738</v>
      </c>
      <c r="C107" t="s">
        <v>528</v>
      </c>
      <c r="D107" t="s">
        <v>611</v>
      </c>
      <c r="E107" t="s">
        <v>620</v>
      </c>
      <c r="F107" t="s">
        <v>624</v>
      </c>
      <c r="G107" s="4">
        <v>8</v>
      </c>
      <c r="H107" s="6">
        <v>0</v>
      </c>
      <c r="I107" s="4">
        <v>5200</v>
      </c>
      <c r="J107" s="4">
        <v>832</v>
      </c>
    </row>
    <row r="108" spans="1:10" x14ac:dyDescent="0.35">
      <c r="A108" t="s">
        <v>116</v>
      </c>
      <c r="B108" s="2">
        <v>45739</v>
      </c>
      <c r="C108" t="s">
        <v>574</v>
      </c>
      <c r="D108" t="s">
        <v>612</v>
      </c>
      <c r="E108" t="s">
        <v>621</v>
      </c>
      <c r="F108" t="s">
        <v>624</v>
      </c>
      <c r="G108" s="4">
        <v>5</v>
      </c>
      <c r="H108" s="6">
        <v>0</v>
      </c>
      <c r="I108" s="4">
        <v>60</v>
      </c>
      <c r="J108" s="4">
        <v>16.8</v>
      </c>
    </row>
    <row r="109" spans="1:10" x14ac:dyDescent="0.35">
      <c r="A109" t="s">
        <v>117</v>
      </c>
      <c r="B109" s="2">
        <v>45739</v>
      </c>
      <c r="C109" t="s">
        <v>575</v>
      </c>
      <c r="D109" t="s">
        <v>617</v>
      </c>
      <c r="E109" t="s">
        <v>620</v>
      </c>
      <c r="F109" t="s">
        <v>624</v>
      </c>
      <c r="G109" s="4">
        <v>5</v>
      </c>
      <c r="H109" s="6">
        <v>0.05</v>
      </c>
      <c r="I109" s="4">
        <v>213.75</v>
      </c>
      <c r="J109" s="4">
        <v>42.75</v>
      </c>
    </row>
    <row r="110" spans="1:10" x14ac:dyDescent="0.35">
      <c r="A110" t="s">
        <v>118</v>
      </c>
      <c r="B110" s="2">
        <v>45739</v>
      </c>
      <c r="C110" t="s">
        <v>559</v>
      </c>
      <c r="D110" t="s">
        <v>618</v>
      </c>
      <c r="E110" t="s">
        <v>620</v>
      </c>
      <c r="F110" t="s">
        <v>623</v>
      </c>
      <c r="G110" s="4">
        <v>5</v>
      </c>
      <c r="H110" s="6">
        <v>0.05</v>
      </c>
      <c r="I110" s="4">
        <v>118.75</v>
      </c>
      <c r="J110" s="4">
        <v>27.31</v>
      </c>
    </row>
    <row r="111" spans="1:10" x14ac:dyDescent="0.35">
      <c r="A111" t="s">
        <v>119</v>
      </c>
      <c r="B111" s="2">
        <v>45739</v>
      </c>
      <c r="C111" t="s">
        <v>545</v>
      </c>
      <c r="D111" t="s">
        <v>618</v>
      </c>
      <c r="E111" t="s">
        <v>620</v>
      </c>
      <c r="F111" t="s">
        <v>623</v>
      </c>
      <c r="G111" s="4">
        <v>6</v>
      </c>
      <c r="H111" s="6">
        <v>0.05</v>
      </c>
      <c r="I111" s="4">
        <v>142.5</v>
      </c>
      <c r="J111" s="4">
        <v>32.78</v>
      </c>
    </row>
    <row r="112" spans="1:10" x14ac:dyDescent="0.35">
      <c r="A112" t="s">
        <v>120</v>
      </c>
      <c r="B112" s="2">
        <v>45739</v>
      </c>
      <c r="C112" t="s">
        <v>576</v>
      </c>
      <c r="D112" t="s">
        <v>617</v>
      </c>
      <c r="E112" t="s">
        <v>620</v>
      </c>
      <c r="F112" t="s">
        <v>625</v>
      </c>
      <c r="G112" s="4">
        <v>4</v>
      </c>
      <c r="H112" s="6">
        <v>0.05</v>
      </c>
      <c r="I112" s="4">
        <v>171</v>
      </c>
      <c r="J112" s="4">
        <v>34.200000000000003</v>
      </c>
    </row>
    <row r="113" spans="1:10" x14ac:dyDescent="0.35">
      <c r="A113" t="s">
        <v>121</v>
      </c>
      <c r="B113" s="2">
        <v>45740</v>
      </c>
      <c r="C113" t="s">
        <v>518</v>
      </c>
      <c r="D113" t="s">
        <v>616</v>
      </c>
      <c r="E113" t="s">
        <v>622</v>
      </c>
      <c r="F113" t="s">
        <v>623</v>
      </c>
      <c r="G113" s="4">
        <v>2</v>
      </c>
      <c r="H113" s="6">
        <v>0</v>
      </c>
      <c r="I113" s="4">
        <v>520</v>
      </c>
      <c r="J113" s="4">
        <v>78</v>
      </c>
    </row>
    <row r="114" spans="1:10" x14ac:dyDescent="0.35">
      <c r="A114" t="s">
        <v>122</v>
      </c>
      <c r="B114" s="2">
        <v>45741</v>
      </c>
      <c r="C114" t="s">
        <v>524</v>
      </c>
      <c r="D114" t="s">
        <v>610</v>
      </c>
      <c r="E114" t="s">
        <v>620</v>
      </c>
      <c r="F114" t="s">
        <v>626</v>
      </c>
      <c r="G114" s="4">
        <v>7</v>
      </c>
      <c r="H114" s="6">
        <v>0.15</v>
      </c>
      <c r="I114" s="4">
        <v>505.75</v>
      </c>
      <c r="J114" s="4">
        <v>96.09</v>
      </c>
    </row>
    <row r="115" spans="1:10" x14ac:dyDescent="0.35">
      <c r="A115" t="s">
        <v>123</v>
      </c>
      <c r="B115" s="2">
        <v>45741</v>
      </c>
      <c r="C115" t="s">
        <v>542</v>
      </c>
      <c r="D115" t="s">
        <v>616</v>
      </c>
      <c r="E115" t="s">
        <v>622</v>
      </c>
      <c r="F115" t="s">
        <v>625</v>
      </c>
      <c r="G115" s="4">
        <v>3</v>
      </c>
      <c r="H115" s="6">
        <v>0</v>
      </c>
      <c r="I115" s="4">
        <v>780</v>
      </c>
      <c r="J115" s="4">
        <v>117</v>
      </c>
    </row>
    <row r="116" spans="1:10" x14ac:dyDescent="0.35">
      <c r="A116" t="s">
        <v>124</v>
      </c>
      <c r="B116" s="2">
        <v>45741</v>
      </c>
      <c r="C116" t="s">
        <v>577</v>
      </c>
      <c r="D116" t="s">
        <v>609</v>
      </c>
      <c r="E116" t="s">
        <v>619</v>
      </c>
      <c r="F116" t="s">
        <v>625</v>
      </c>
      <c r="G116" s="4">
        <v>7</v>
      </c>
      <c r="H116" s="6">
        <v>0.05</v>
      </c>
      <c r="I116" s="4">
        <v>365.75</v>
      </c>
      <c r="J116" s="4">
        <v>80.459999999999994</v>
      </c>
    </row>
    <row r="117" spans="1:10" x14ac:dyDescent="0.35">
      <c r="A117" t="s">
        <v>125</v>
      </c>
      <c r="B117" s="2">
        <v>45741</v>
      </c>
      <c r="C117" t="s">
        <v>516</v>
      </c>
      <c r="D117" t="s">
        <v>609</v>
      </c>
      <c r="E117" t="s">
        <v>619</v>
      </c>
      <c r="F117" t="s">
        <v>626</v>
      </c>
      <c r="G117" s="4">
        <v>4</v>
      </c>
      <c r="H117" s="6">
        <v>0.1</v>
      </c>
      <c r="I117" s="4">
        <v>198</v>
      </c>
      <c r="J117" s="4">
        <v>43.56</v>
      </c>
    </row>
    <row r="118" spans="1:10" x14ac:dyDescent="0.35">
      <c r="A118" t="s">
        <v>126</v>
      </c>
      <c r="B118" s="2">
        <v>45742</v>
      </c>
      <c r="C118" t="s">
        <v>578</v>
      </c>
      <c r="D118" t="s">
        <v>610</v>
      </c>
      <c r="E118" t="s">
        <v>620</v>
      </c>
      <c r="F118" t="s">
        <v>625</v>
      </c>
      <c r="G118" s="4">
        <v>3</v>
      </c>
      <c r="H118" s="6">
        <v>0</v>
      </c>
      <c r="I118" s="4">
        <v>255</v>
      </c>
      <c r="J118" s="4">
        <v>48.45</v>
      </c>
    </row>
    <row r="119" spans="1:10" x14ac:dyDescent="0.35">
      <c r="A119" t="s">
        <v>127</v>
      </c>
      <c r="B119" s="2">
        <v>45743</v>
      </c>
      <c r="C119" t="s">
        <v>579</v>
      </c>
      <c r="D119" t="s">
        <v>616</v>
      </c>
      <c r="E119" t="s">
        <v>622</v>
      </c>
      <c r="F119" t="s">
        <v>623</v>
      </c>
      <c r="G119" s="4">
        <v>5</v>
      </c>
      <c r="H119" s="6">
        <v>0</v>
      </c>
      <c r="I119" s="4">
        <v>1300</v>
      </c>
      <c r="J119" s="4">
        <v>195</v>
      </c>
    </row>
    <row r="120" spans="1:10" x14ac:dyDescent="0.35">
      <c r="A120" t="s">
        <v>128</v>
      </c>
      <c r="B120" s="2">
        <v>45743</v>
      </c>
      <c r="C120" t="s">
        <v>580</v>
      </c>
      <c r="D120" t="s">
        <v>610</v>
      </c>
      <c r="E120" t="s">
        <v>620</v>
      </c>
      <c r="F120" t="s">
        <v>624</v>
      </c>
      <c r="G120" s="4">
        <v>7</v>
      </c>
      <c r="H120" s="6">
        <v>0</v>
      </c>
      <c r="I120" s="4">
        <v>595</v>
      </c>
      <c r="J120" s="4">
        <v>113.05</v>
      </c>
    </row>
    <row r="121" spans="1:10" x14ac:dyDescent="0.35">
      <c r="A121" t="s">
        <v>129</v>
      </c>
      <c r="B121" s="2">
        <v>45743</v>
      </c>
      <c r="C121" t="s">
        <v>552</v>
      </c>
      <c r="D121" t="s">
        <v>618</v>
      </c>
      <c r="E121" t="s">
        <v>620</v>
      </c>
      <c r="F121" t="s">
        <v>623</v>
      </c>
      <c r="G121" s="4">
        <v>8</v>
      </c>
      <c r="H121" s="6">
        <v>0</v>
      </c>
      <c r="I121" s="4">
        <v>200</v>
      </c>
      <c r="J121" s="4">
        <v>46</v>
      </c>
    </row>
    <row r="122" spans="1:10" x14ac:dyDescent="0.35">
      <c r="A122" t="s">
        <v>130</v>
      </c>
      <c r="B122" s="2">
        <v>45745</v>
      </c>
      <c r="C122" t="s">
        <v>511</v>
      </c>
      <c r="D122" t="s">
        <v>613</v>
      </c>
      <c r="E122" t="s">
        <v>620</v>
      </c>
      <c r="F122" t="s">
        <v>626</v>
      </c>
      <c r="G122" s="4">
        <v>7</v>
      </c>
      <c r="H122" s="6">
        <v>0</v>
      </c>
      <c r="I122" s="4">
        <v>1540</v>
      </c>
      <c r="J122" s="4">
        <v>215.6</v>
      </c>
    </row>
    <row r="123" spans="1:10" x14ac:dyDescent="0.35">
      <c r="A123" t="s">
        <v>131</v>
      </c>
      <c r="B123" s="2">
        <v>45746</v>
      </c>
      <c r="C123" t="s">
        <v>581</v>
      </c>
      <c r="D123" t="s">
        <v>614</v>
      </c>
      <c r="E123" t="s">
        <v>621</v>
      </c>
      <c r="F123" t="s">
        <v>626</v>
      </c>
      <c r="G123" s="4">
        <v>8</v>
      </c>
      <c r="H123" s="6">
        <v>0.15</v>
      </c>
      <c r="I123" s="4">
        <v>54.4</v>
      </c>
      <c r="J123" s="4">
        <v>16.32</v>
      </c>
    </row>
    <row r="124" spans="1:10" x14ac:dyDescent="0.35">
      <c r="A124" t="s">
        <v>132</v>
      </c>
      <c r="B124" s="2">
        <v>45746</v>
      </c>
      <c r="C124" t="s">
        <v>541</v>
      </c>
      <c r="D124" t="s">
        <v>609</v>
      </c>
      <c r="E124" t="s">
        <v>619</v>
      </c>
      <c r="F124" t="s">
        <v>623</v>
      </c>
      <c r="G124" s="4">
        <v>5</v>
      </c>
      <c r="H124" s="6">
        <v>0.05</v>
      </c>
      <c r="I124" s="4">
        <v>261.25</v>
      </c>
      <c r="J124" s="4">
        <v>57.48</v>
      </c>
    </row>
    <row r="125" spans="1:10" x14ac:dyDescent="0.35">
      <c r="A125" t="s">
        <v>133</v>
      </c>
      <c r="B125" s="2">
        <v>45746</v>
      </c>
      <c r="C125" t="s">
        <v>537</v>
      </c>
      <c r="D125" t="s">
        <v>614</v>
      </c>
      <c r="E125" t="s">
        <v>621</v>
      </c>
      <c r="F125" t="s">
        <v>623</v>
      </c>
      <c r="G125" s="4">
        <v>7</v>
      </c>
      <c r="H125" s="6">
        <v>0.05</v>
      </c>
      <c r="I125" s="4">
        <v>53.2</v>
      </c>
      <c r="J125" s="4">
        <v>15.96</v>
      </c>
    </row>
    <row r="126" spans="1:10" x14ac:dyDescent="0.35">
      <c r="A126" t="s">
        <v>134</v>
      </c>
      <c r="B126" s="2">
        <v>45747</v>
      </c>
      <c r="C126" t="s">
        <v>582</v>
      </c>
      <c r="D126" t="s">
        <v>609</v>
      </c>
      <c r="E126" t="s">
        <v>619</v>
      </c>
      <c r="F126" t="s">
        <v>625</v>
      </c>
      <c r="G126" s="4">
        <v>5</v>
      </c>
      <c r="H126" s="6">
        <v>0</v>
      </c>
      <c r="I126" s="4">
        <v>275</v>
      </c>
      <c r="J126" s="4">
        <v>60.5</v>
      </c>
    </row>
    <row r="127" spans="1:10" x14ac:dyDescent="0.35">
      <c r="A127" t="s">
        <v>135</v>
      </c>
      <c r="B127" s="2">
        <v>45747</v>
      </c>
      <c r="C127" t="s">
        <v>568</v>
      </c>
      <c r="D127" t="s">
        <v>614</v>
      </c>
      <c r="E127" t="s">
        <v>621</v>
      </c>
      <c r="F127" t="s">
        <v>625</v>
      </c>
      <c r="G127" s="4">
        <v>2</v>
      </c>
      <c r="H127" s="6">
        <v>0.1</v>
      </c>
      <c r="I127" s="4">
        <v>14.4</v>
      </c>
      <c r="J127" s="4">
        <v>4.32</v>
      </c>
    </row>
    <row r="128" spans="1:10" x14ac:dyDescent="0.35">
      <c r="A128" t="s">
        <v>136</v>
      </c>
      <c r="B128" s="2">
        <v>45747</v>
      </c>
      <c r="C128" t="s">
        <v>537</v>
      </c>
      <c r="D128" t="s">
        <v>614</v>
      </c>
      <c r="E128" t="s">
        <v>621</v>
      </c>
      <c r="F128" t="s">
        <v>625</v>
      </c>
      <c r="G128" s="4">
        <v>7</v>
      </c>
      <c r="H128" s="6">
        <v>0</v>
      </c>
      <c r="I128" s="4">
        <v>56</v>
      </c>
      <c r="J128" s="4">
        <v>16.8</v>
      </c>
    </row>
    <row r="129" spans="1:10" x14ac:dyDescent="0.35">
      <c r="A129" t="s">
        <v>137</v>
      </c>
      <c r="B129" s="2">
        <v>45747</v>
      </c>
      <c r="C129" t="s">
        <v>583</v>
      </c>
      <c r="D129" t="s">
        <v>615</v>
      </c>
      <c r="E129" t="s">
        <v>622</v>
      </c>
      <c r="F129" t="s">
        <v>624</v>
      </c>
      <c r="G129" s="4">
        <v>1</v>
      </c>
      <c r="H129" s="6">
        <v>0</v>
      </c>
      <c r="I129" s="4">
        <v>180</v>
      </c>
      <c r="J129" s="4">
        <v>32.4</v>
      </c>
    </row>
    <row r="130" spans="1:10" x14ac:dyDescent="0.35">
      <c r="A130" t="s">
        <v>138</v>
      </c>
      <c r="B130" s="2">
        <v>45747</v>
      </c>
      <c r="C130" t="s">
        <v>530</v>
      </c>
      <c r="D130" t="s">
        <v>616</v>
      </c>
      <c r="E130" t="s">
        <v>622</v>
      </c>
      <c r="F130" t="s">
        <v>625</v>
      </c>
      <c r="G130" s="4">
        <v>1</v>
      </c>
      <c r="H130" s="6">
        <v>0</v>
      </c>
      <c r="I130" s="4">
        <v>260</v>
      </c>
      <c r="J130" s="4">
        <v>39</v>
      </c>
    </row>
    <row r="131" spans="1:10" x14ac:dyDescent="0.35">
      <c r="A131" t="s">
        <v>139</v>
      </c>
      <c r="B131" s="2">
        <v>45749</v>
      </c>
      <c r="C131" t="s">
        <v>553</v>
      </c>
      <c r="D131" t="s">
        <v>613</v>
      </c>
      <c r="E131" t="s">
        <v>620</v>
      </c>
      <c r="F131" t="s">
        <v>624</v>
      </c>
      <c r="G131" s="4">
        <v>4</v>
      </c>
      <c r="H131" s="6">
        <v>0</v>
      </c>
      <c r="I131" s="4">
        <v>880</v>
      </c>
      <c r="J131" s="4">
        <v>123.2</v>
      </c>
    </row>
    <row r="132" spans="1:10" x14ac:dyDescent="0.35">
      <c r="A132" t="s">
        <v>140</v>
      </c>
      <c r="B132" s="2">
        <v>45751</v>
      </c>
      <c r="C132" t="s">
        <v>555</v>
      </c>
      <c r="D132" t="s">
        <v>609</v>
      </c>
      <c r="E132" t="s">
        <v>619</v>
      </c>
      <c r="F132" t="s">
        <v>624</v>
      </c>
      <c r="G132" s="4">
        <v>6</v>
      </c>
      <c r="H132" s="6">
        <v>0.1</v>
      </c>
      <c r="I132" s="4">
        <v>297</v>
      </c>
      <c r="J132" s="4">
        <v>65.34</v>
      </c>
    </row>
    <row r="133" spans="1:10" x14ac:dyDescent="0.35">
      <c r="A133" t="s">
        <v>141</v>
      </c>
      <c r="B133" s="2">
        <v>45751</v>
      </c>
      <c r="C133" t="s">
        <v>584</v>
      </c>
      <c r="D133" t="s">
        <v>616</v>
      </c>
      <c r="E133" t="s">
        <v>622</v>
      </c>
      <c r="F133" t="s">
        <v>625</v>
      </c>
      <c r="G133" s="4">
        <v>7</v>
      </c>
      <c r="H133" s="6">
        <v>0.05</v>
      </c>
      <c r="I133" s="4">
        <v>1729</v>
      </c>
      <c r="J133" s="4">
        <v>259.35000000000002</v>
      </c>
    </row>
    <row r="134" spans="1:10" x14ac:dyDescent="0.35">
      <c r="A134" t="s">
        <v>142</v>
      </c>
      <c r="B134" s="2">
        <v>45752</v>
      </c>
      <c r="C134" t="s">
        <v>585</v>
      </c>
      <c r="D134" t="s">
        <v>613</v>
      </c>
      <c r="E134" t="s">
        <v>620</v>
      </c>
      <c r="F134" t="s">
        <v>624</v>
      </c>
      <c r="G134" s="4">
        <v>3</v>
      </c>
      <c r="H134" s="6">
        <v>0</v>
      </c>
      <c r="I134" s="4">
        <v>660</v>
      </c>
      <c r="J134" s="4">
        <v>92.4</v>
      </c>
    </row>
    <row r="135" spans="1:10" x14ac:dyDescent="0.35">
      <c r="A135" t="s">
        <v>143</v>
      </c>
      <c r="B135" s="2">
        <v>45753</v>
      </c>
      <c r="C135" t="s">
        <v>574</v>
      </c>
      <c r="D135" t="s">
        <v>615</v>
      </c>
      <c r="E135" t="s">
        <v>622</v>
      </c>
      <c r="F135" t="s">
        <v>626</v>
      </c>
      <c r="G135" s="4">
        <v>5</v>
      </c>
      <c r="H135" s="6">
        <v>0</v>
      </c>
      <c r="I135" s="4">
        <v>900</v>
      </c>
      <c r="J135" s="4">
        <v>162</v>
      </c>
    </row>
    <row r="136" spans="1:10" x14ac:dyDescent="0.35">
      <c r="A136" t="s">
        <v>144</v>
      </c>
      <c r="B136" s="2">
        <v>45753</v>
      </c>
      <c r="C136" t="s">
        <v>517</v>
      </c>
      <c r="D136" t="s">
        <v>615</v>
      </c>
      <c r="E136" t="s">
        <v>622</v>
      </c>
      <c r="F136" t="s">
        <v>626</v>
      </c>
      <c r="G136" s="4">
        <v>2</v>
      </c>
      <c r="H136" s="6">
        <v>0.1</v>
      </c>
      <c r="I136" s="4">
        <v>324</v>
      </c>
      <c r="J136" s="4">
        <v>58.32</v>
      </c>
    </row>
    <row r="137" spans="1:10" x14ac:dyDescent="0.35">
      <c r="A137" t="s">
        <v>145</v>
      </c>
      <c r="B137" s="2">
        <v>45753</v>
      </c>
      <c r="C137" t="s">
        <v>549</v>
      </c>
      <c r="D137" t="s">
        <v>613</v>
      </c>
      <c r="E137" t="s">
        <v>620</v>
      </c>
      <c r="F137" t="s">
        <v>626</v>
      </c>
      <c r="G137" s="4">
        <v>3</v>
      </c>
      <c r="H137" s="6">
        <v>0.05</v>
      </c>
      <c r="I137" s="4">
        <v>627</v>
      </c>
      <c r="J137" s="4">
        <v>87.78</v>
      </c>
    </row>
    <row r="138" spans="1:10" x14ac:dyDescent="0.35">
      <c r="A138" t="s">
        <v>146</v>
      </c>
      <c r="B138" s="2">
        <v>45755</v>
      </c>
      <c r="C138" t="s">
        <v>514</v>
      </c>
      <c r="D138" t="s">
        <v>617</v>
      </c>
      <c r="E138" t="s">
        <v>620</v>
      </c>
      <c r="F138" t="s">
        <v>624</v>
      </c>
      <c r="G138" s="4">
        <v>6</v>
      </c>
      <c r="H138" s="6">
        <v>0.1</v>
      </c>
      <c r="I138" s="4">
        <v>243</v>
      </c>
      <c r="J138" s="4">
        <v>48.6</v>
      </c>
    </row>
    <row r="139" spans="1:10" x14ac:dyDescent="0.35">
      <c r="A139" t="s">
        <v>147</v>
      </c>
      <c r="B139" s="2">
        <v>45755</v>
      </c>
      <c r="C139" t="s">
        <v>513</v>
      </c>
      <c r="D139" t="s">
        <v>611</v>
      </c>
      <c r="E139" t="s">
        <v>620</v>
      </c>
      <c r="F139" t="s">
        <v>623</v>
      </c>
      <c r="G139" s="4">
        <v>5</v>
      </c>
      <c r="H139" s="6">
        <v>0</v>
      </c>
      <c r="I139" s="4">
        <v>3250</v>
      </c>
      <c r="J139" s="4">
        <v>520</v>
      </c>
    </row>
    <row r="140" spans="1:10" x14ac:dyDescent="0.35">
      <c r="A140" t="s">
        <v>148</v>
      </c>
      <c r="B140" s="2">
        <v>45755</v>
      </c>
      <c r="C140" t="s">
        <v>567</v>
      </c>
      <c r="D140" t="s">
        <v>609</v>
      </c>
      <c r="E140" t="s">
        <v>619</v>
      </c>
      <c r="F140" t="s">
        <v>625</v>
      </c>
      <c r="G140" s="4">
        <v>5</v>
      </c>
      <c r="H140" s="6">
        <v>0</v>
      </c>
      <c r="I140" s="4">
        <v>275</v>
      </c>
      <c r="J140" s="4">
        <v>60.5</v>
      </c>
    </row>
    <row r="141" spans="1:10" x14ac:dyDescent="0.35">
      <c r="A141" t="s">
        <v>149</v>
      </c>
      <c r="B141" s="2">
        <v>45756</v>
      </c>
      <c r="C141" t="s">
        <v>539</v>
      </c>
      <c r="D141" t="s">
        <v>616</v>
      </c>
      <c r="E141" t="s">
        <v>622</v>
      </c>
      <c r="F141" t="s">
        <v>626</v>
      </c>
      <c r="G141" s="4">
        <v>6</v>
      </c>
      <c r="H141" s="6">
        <v>0.1</v>
      </c>
      <c r="I141" s="4">
        <v>1404</v>
      </c>
      <c r="J141" s="4">
        <v>210.6</v>
      </c>
    </row>
    <row r="142" spans="1:10" x14ac:dyDescent="0.35">
      <c r="A142" t="s">
        <v>150</v>
      </c>
      <c r="B142" s="2">
        <v>45758</v>
      </c>
      <c r="C142" t="s">
        <v>586</v>
      </c>
      <c r="D142" t="s">
        <v>614</v>
      </c>
      <c r="E142" t="s">
        <v>621</v>
      </c>
      <c r="F142" t="s">
        <v>626</v>
      </c>
      <c r="G142" s="4">
        <v>4</v>
      </c>
      <c r="H142" s="6">
        <v>0.1</v>
      </c>
      <c r="I142" s="4">
        <v>28.8</v>
      </c>
      <c r="J142" s="4">
        <v>8.64</v>
      </c>
    </row>
    <row r="143" spans="1:10" x14ac:dyDescent="0.35">
      <c r="A143" t="s">
        <v>151</v>
      </c>
      <c r="B143" s="2">
        <v>45758</v>
      </c>
      <c r="C143" t="s">
        <v>549</v>
      </c>
      <c r="D143" t="s">
        <v>611</v>
      </c>
      <c r="E143" t="s">
        <v>620</v>
      </c>
      <c r="F143" t="s">
        <v>624</v>
      </c>
      <c r="G143" s="4">
        <v>3</v>
      </c>
      <c r="H143" s="6">
        <v>0.1</v>
      </c>
      <c r="I143" s="4">
        <v>1755</v>
      </c>
      <c r="J143" s="4">
        <v>280.8</v>
      </c>
    </row>
    <row r="144" spans="1:10" x14ac:dyDescent="0.35">
      <c r="A144" t="s">
        <v>152</v>
      </c>
      <c r="B144" s="2">
        <v>45758</v>
      </c>
      <c r="C144" t="s">
        <v>511</v>
      </c>
      <c r="D144" t="s">
        <v>611</v>
      </c>
      <c r="E144" t="s">
        <v>620</v>
      </c>
      <c r="F144" t="s">
        <v>626</v>
      </c>
      <c r="G144" s="4">
        <v>7</v>
      </c>
      <c r="H144" s="6">
        <v>0</v>
      </c>
      <c r="I144" s="4">
        <v>4550</v>
      </c>
      <c r="J144" s="4">
        <v>728</v>
      </c>
    </row>
    <row r="145" spans="1:10" x14ac:dyDescent="0.35">
      <c r="A145" t="s">
        <v>153</v>
      </c>
      <c r="B145" s="2">
        <v>45760</v>
      </c>
      <c r="C145" t="s">
        <v>570</v>
      </c>
      <c r="D145" t="s">
        <v>617</v>
      </c>
      <c r="E145" t="s">
        <v>620</v>
      </c>
      <c r="F145" t="s">
        <v>623</v>
      </c>
      <c r="G145" s="4">
        <v>2</v>
      </c>
      <c r="H145" s="6">
        <v>0.05</v>
      </c>
      <c r="I145" s="4">
        <v>85.5</v>
      </c>
      <c r="J145" s="4">
        <v>17.100000000000001</v>
      </c>
    </row>
    <row r="146" spans="1:10" x14ac:dyDescent="0.35">
      <c r="A146" t="s">
        <v>154</v>
      </c>
      <c r="B146" s="2">
        <v>45761</v>
      </c>
      <c r="C146" t="s">
        <v>587</v>
      </c>
      <c r="D146" t="s">
        <v>618</v>
      </c>
      <c r="E146" t="s">
        <v>620</v>
      </c>
      <c r="F146" t="s">
        <v>625</v>
      </c>
      <c r="G146" s="4">
        <v>5</v>
      </c>
      <c r="H146" s="6">
        <v>0.05</v>
      </c>
      <c r="I146" s="4">
        <v>118.75</v>
      </c>
      <c r="J146" s="4">
        <v>27.31</v>
      </c>
    </row>
    <row r="147" spans="1:10" x14ac:dyDescent="0.35">
      <c r="A147" t="s">
        <v>155</v>
      </c>
      <c r="B147" s="2">
        <v>45761</v>
      </c>
      <c r="C147" t="s">
        <v>513</v>
      </c>
      <c r="D147" t="s">
        <v>611</v>
      </c>
      <c r="E147" t="s">
        <v>620</v>
      </c>
      <c r="F147" t="s">
        <v>626</v>
      </c>
      <c r="G147" s="4">
        <v>8</v>
      </c>
      <c r="H147" s="6">
        <v>0</v>
      </c>
      <c r="I147" s="4">
        <v>5200</v>
      </c>
      <c r="J147" s="4">
        <v>832</v>
      </c>
    </row>
    <row r="148" spans="1:10" x14ac:dyDescent="0.35">
      <c r="A148" t="s">
        <v>156</v>
      </c>
      <c r="B148" s="2">
        <v>45761</v>
      </c>
      <c r="C148" t="s">
        <v>527</v>
      </c>
      <c r="D148" t="s">
        <v>616</v>
      </c>
      <c r="E148" t="s">
        <v>622</v>
      </c>
      <c r="F148" t="s">
        <v>624</v>
      </c>
      <c r="G148" s="4">
        <v>3</v>
      </c>
      <c r="H148" s="6">
        <v>0.1</v>
      </c>
      <c r="I148" s="4">
        <v>702</v>
      </c>
      <c r="J148" s="4">
        <v>105.3</v>
      </c>
    </row>
    <row r="149" spans="1:10" x14ac:dyDescent="0.35">
      <c r="A149" t="s">
        <v>157</v>
      </c>
      <c r="B149" s="2">
        <v>45762</v>
      </c>
      <c r="C149" t="s">
        <v>534</v>
      </c>
      <c r="D149" t="s">
        <v>613</v>
      </c>
      <c r="E149" t="s">
        <v>620</v>
      </c>
      <c r="F149" t="s">
        <v>626</v>
      </c>
      <c r="G149" s="4">
        <v>3</v>
      </c>
      <c r="H149" s="6">
        <v>0</v>
      </c>
      <c r="I149" s="4">
        <v>660</v>
      </c>
      <c r="J149" s="4">
        <v>92.4</v>
      </c>
    </row>
    <row r="150" spans="1:10" x14ac:dyDescent="0.35">
      <c r="A150" t="s">
        <v>158</v>
      </c>
      <c r="B150" s="2">
        <v>45763</v>
      </c>
      <c r="C150" t="s">
        <v>511</v>
      </c>
      <c r="D150" t="s">
        <v>614</v>
      </c>
      <c r="E150" t="s">
        <v>621</v>
      </c>
      <c r="F150" t="s">
        <v>623</v>
      </c>
      <c r="G150" s="4">
        <v>7</v>
      </c>
      <c r="H150" s="6">
        <v>0</v>
      </c>
      <c r="I150" s="4">
        <v>56</v>
      </c>
      <c r="J150" s="4">
        <v>16.8</v>
      </c>
    </row>
    <row r="151" spans="1:10" x14ac:dyDescent="0.35">
      <c r="A151" t="s">
        <v>159</v>
      </c>
      <c r="B151" s="2">
        <v>45763</v>
      </c>
      <c r="C151" t="s">
        <v>567</v>
      </c>
      <c r="D151" t="s">
        <v>609</v>
      </c>
      <c r="E151" t="s">
        <v>619</v>
      </c>
      <c r="F151" t="s">
        <v>625</v>
      </c>
      <c r="G151" s="4">
        <v>4</v>
      </c>
      <c r="H151" s="6">
        <v>0</v>
      </c>
      <c r="I151" s="4">
        <v>220</v>
      </c>
      <c r="J151" s="4">
        <v>48.4</v>
      </c>
    </row>
    <row r="152" spans="1:10" x14ac:dyDescent="0.35">
      <c r="A152" t="s">
        <v>160</v>
      </c>
      <c r="B152" s="2">
        <v>45764</v>
      </c>
      <c r="C152" t="s">
        <v>574</v>
      </c>
      <c r="D152" t="s">
        <v>617</v>
      </c>
      <c r="E152" t="s">
        <v>620</v>
      </c>
      <c r="F152" t="s">
        <v>623</v>
      </c>
      <c r="G152" s="4">
        <v>5</v>
      </c>
      <c r="H152" s="6">
        <v>0.1</v>
      </c>
      <c r="I152" s="4">
        <v>202.5</v>
      </c>
      <c r="J152" s="4">
        <v>40.5</v>
      </c>
    </row>
    <row r="153" spans="1:10" x14ac:dyDescent="0.35">
      <c r="A153" t="s">
        <v>161</v>
      </c>
      <c r="B153" s="2">
        <v>45765</v>
      </c>
      <c r="C153" t="s">
        <v>546</v>
      </c>
      <c r="D153" t="s">
        <v>612</v>
      </c>
      <c r="E153" t="s">
        <v>621</v>
      </c>
      <c r="F153" t="s">
        <v>625</v>
      </c>
      <c r="G153" s="4">
        <v>7</v>
      </c>
      <c r="H153" s="6">
        <v>0</v>
      </c>
      <c r="I153" s="4">
        <v>84</v>
      </c>
      <c r="J153" s="4">
        <v>23.52</v>
      </c>
    </row>
    <row r="154" spans="1:10" x14ac:dyDescent="0.35">
      <c r="A154" t="s">
        <v>162</v>
      </c>
      <c r="B154" s="2">
        <v>45765</v>
      </c>
      <c r="C154" t="s">
        <v>565</v>
      </c>
      <c r="D154" t="s">
        <v>611</v>
      </c>
      <c r="E154" t="s">
        <v>620</v>
      </c>
      <c r="F154" t="s">
        <v>625</v>
      </c>
      <c r="G154" s="4">
        <v>8</v>
      </c>
      <c r="H154" s="6">
        <v>0</v>
      </c>
      <c r="I154" s="4">
        <v>5200</v>
      </c>
      <c r="J154" s="4">
        <v>832</v>
      </c>
    </row>
    <row r="155" spans="1:10" x14ac:dyDescent="0.35">
      <c r="A155" t="s">
        <v>163</v>
      </c>
      <c r="B155" s="2">
        <v>45766</v>
      </c>
      <c r="C155" t="s">
        <v>514</v>
      </c>
      <c r="D155" t="s">
        <v>612</v>
      </c>
      <c r="E155" t="s">
        <v>621</v>
      </c>
      <c r="F155" t="s">
        <v>624</v>
      </c>
      <c r="G155" s="4">
        <v>3</v>
      </c>
      <c r="H155" s="6">
        <v>0</v>
      </c>
      <c r="I155" s="4">
        <v>36</v>
      </c>
      <c r="J155" s="4">
        <v>10.08</v>
      </c>
    </row>
    <row r="156" spans="1:10" x14ac:dyDescent="0.35">
      <c r="A156" t="s">
        <v>164</v>
      </c>
      <c r="B156" s="2">
        <v>45768</v>
      </c>
      <c r="C156" t="s">
        <v>580</v>
      </c>
      <c r="D156" t="s">
        <v>615</v>
      </c>
      <c r="E156" t="s">
        <v>622</v>
      </c>
      <c r="F156" t="s">
        <v>623</v>
      </c>
      <c r="G156" s="4">
        <v>7</v>
      </c>
      <c r="H156" s="6">
        <v>0</v>
      </c>
      <c r="I156" s="4">
        <v>1260</v>
      </c>
      <c r="J156" s="4">
        <v>226.8</v>
      </c>
    </row>
    <row r="157" spans="1:10" x14ac:dyDescent="0.35">
      <c r="A157" t="s">
        <v>165</v>
      </c>
      <c r="B157" s="2">
        <v>45768</v>
      </c>
      <c r="C157" t="s">
        <v>530</v>
      </c>
      <c r="D157" t="s">
        <v>618</v>
      </c>
      <c r="E157" t="s">
        <v>620</v>
      </c>
      <c r="F157" t="s">
        <v>626</v>
      </c>
      <c r="G157" s="4">
        <v>6</v>
      </c>
      <c r="H157" s="6">
        <v>0.1</v>
      </c>
      <c r="I157" s="4">
        <v>135</v>
      </c>
      <c r="J157" s="4">
        <v>31.05</v>
      </c>
    </row>
    <row r="158" spans="1:10" x14ac:dyDescent="0.35">
      <c r="A158" t="s">
        <v>166</v>
      </c>
      <c r="B158" s="2">
        <v>45768</v>
      </c>
      <c r="C158" t="s">
        <v>516</v>
      </c>
      <c r="D158" t="s">
        <v>615</v>
      </c>
      <c r="E158" t="s">
        <v>622</v>
      </c>
      <c r="F158" t="s">
        <v>624</v>
      </c>
      <c r="G158" s="4">
        <v>6</v>
      </c>
      <c r="H158" s="6">
        <v>0.05</v>
      </c>
      <c r="I158" s="4">
        <v>1026</v>
      </c>
      <c r="J158" s="4">
        <v>184.68</v>
      </c>
    </row>
    <row r="159" spans="1:10" x14ac:dyDescent="0.35">
      <c r="A159" t="s">
        <v>167</v>
      </c>
      <c r="B159" s="2">
        <v>45769</v>
      </c>
      <c r="C159" t="s">
        <v>588</v>
      </c>
      <c r="D159" t="s">
        <v>610</v>
      </c>
      <c r="E159" t="s">
        <v>620</v>
      </c>
      <c r="F159" t="s">
        <v>624</v>
      </c>
      <c r="G159" s="4">
        <v>1</v>
      </c>
      <c r="H159" s="6">
        <v>0</v>
      </c>
      <c r="I159" s="4">
        <v>85</v>
      </c>
      <c r="J159" s="4">
        <v>16.149999999999999</v>
      </c>
    </row>
    <row r="160" spans="1:10" x14ac:dyDescent="0.35">
      <c r="A160" t="s">
        <v>168</v>
      </c>
      <c r="B160" s="2">
        <v>45769</v>
      </c>
      <c r="C160" t="s">
        <v>589</v>
      </c>
      <c r="D160" t="s">
        <v>613</v>
      </c>
      <c r="E160" t="s">
        <v>620</v>
      </c>
      <c r="F160" t="s">
        <v>623</v>
      </c>
      <c r="G160" s="4">
        <v>1</v>
      </c>
      <c r="H160" s="6">
        <v>0.05</v>
      </c>
      <c r="I160" s="4">
        <v>209</v>
      </c>
      <c r="J160" s="4">
        <v>29.26</v>
      </c>
    </row>
    <row r="161" spans="1:10" x14ac:dyDescent="0.35">
      <c r="A161" t="s">
        <v>169</v>
      </c>
      <c r="B161" s="2">
        <v>45769</v>
      </c>
      <c r="C161" t="s">
        <v>542</v>
      </c>
      <c r="D161" t="s">
        <v>616</v>
      </c>
      <c r="E161" t="s">
        <v>622</v>
      </c>
      <c r="F161" t="s">
        <v>623</v>
      </c>
      <c r="G161" s="4">
        <v>3</v>
      </c>
      <c r="H161" s="6">
        <v>0.05</v>
      </c>
      <c r="I161" s="4">
        <v>741</v>
      </c>
      <c r="J161" s="4">
        <v>111.15</v>
      </c>
    </row>
    <row r="162" spans="1:10" x14ac:dyDescent="0.35">
      <c r="A162" t="s">
        <v>170</v>
      </c>
      <c r="B162" s="2">
        <v>45769</v>
      </c>
      <c r="C162" t="s">
        <v>574</v>
      </c>
      <c r="D162" t="s">
        <v>614</v>
      </c>
      <c r="E162" t="s">
        <v>621</v>
      </c>
      <c r="F162" t="s">
        <v>626</v>
      </c>
      <c r="G162" s="4">
        <v>7</v>
      </c>
      <c r="H162" s="6">
        <v>0</v>
      </c>
      <c r="I162" s="4">
        <v>56</v>
      </c>
      <c r="J162" s="4">
        <v>16.8</v>
      </c>
    </row>
    <row r="163" spans="1:10" x14ac:dyDescent="0.35">
      <c r="A163" t="s">
        <v>171</v>
      </c>
      <c r="B163" s="2">
        <v>45770</v>
      </c>
      <c r="C163" t="s">
        <v>544</v>
      </c>
      <c r="D163" t="s">
        <v>617</v>
      </c>
      <c r="E163" t="s">
        <v>620</v>
      </c>
      <c r="F163" t="s">
        <v>626</v>
      </c>
      <c r="G163" s="4">
        <v>6</v>
      </c>
      <c r="H163" s="6">
        <v>0</v>
      </c>
      <c r="I163" s="4">
        <v>270</v>
      </c>
      <c r="J163" s="4">
        <v>54</v>
      </c>
    </row>
    <row r="164" spans="1:10" x14ac:dyDescent="0.35">
      <c r="A164" t="s">
        <v>172</v>
      </c>
      <c r="B164" s="2">
        <v>45771</v>
      </c>
      <c r="C164" t="s">
        <v>536</v>
      </c>
      <c r="D164" t="s">
        <v>618</v>
      </c>
      <c r="E164" t="s">
        <v>620</v>
      </c>
      <c r="F164" t="s">
        <v>625</v>
      </c>
      <c r="G164" s="4">
        <v>1</v>
      </c>
      <c r="H164" s="6">
        <v>0.1</v>
      </c>
      <c r="I164" s="4">
        <v>22.5</v>
      </c>
      <c r="J164" s="4">
        <v>5.18</v>
      </c>
    </row>
    <row r="165" spans="1:10" x14ac:dyDescent="0.35">
      <c r="A165" t="s">
        <v>173</v>
      </c>
      <c r="B165" s="2">
        <v>45773</v>
      </c>
      <c r="C165" t="s">
        <v>566</v>
      </c>
      <c r="D165" t="s">
        <v>611</v>
      </c>
      <c r="E165" t="s">
        <v>620</v>
      </c>
      <c r="F165" t="s">
        <v>625</v>
      </c>
      <c r="G165" s="4">
        <v>5</v>
      </c>
      <c r="H165" s="6">
        <v>0</v>
      </c>
      <c r="I165" s="4">
        <v>3250</v>
      </c>
      <c r="J165" s="4">
        <v>520</v>
      </c>
    </row>
    <row r="166" spans="1:10" x14ac:dyDescent="0.35">
      <c r="A166" t="s">
        <v>174</v>
      </c>
      <c r="B166" s="2">
        <v>45774</v>
      </c>
      <c r="C166" t="s">
        <v>558</v>
      </c>
      <c r="D166" t="s">
        <v>614</v>
      </c>
      <c r="E166" t="s">
        <v>621</v>
      </c>
      <c r="F166" t="s">
        <v>623</v>
      </c>
      <c r="G166" s="4">
        <v>4</v>
      </c>
      <c r="H166" s="6">
        <v>0</v>
      </c>
      <c r="I166" s="4">
        <v>32</v>
      </c>
      <c r="J166" s="4">
        <v>9.6</v>
      </c>
    </row>
    <row r="167" spans="1:10" x14ac:dyDescent="0.35">
      <c r="A167" t="s">
        <v>175</v>
      </c>
      <c r="B167" s="2">
        <v>45774</v>
      </c>
      <c r="C167" t="s">
        <v>590</v>
      </c>
      <c r="D167" t="s">
        <v>614</v>
      </c>
      <c r="E167" t="s">
        <v>621</v>
      </c>
      <c r="F167" t="s">
        <v>625</v>
      </c>
      <c r="G167" s="4">
        <v>6</v>
      </c>
      <c r="H167" s="6">
        <v>0</v>
      </c>
      <c r="I167" s="4">
        <v>48</v>
      </c>
      <c r="J167" s="4">
        <v>14.4</v>
      </c>
    </row>
    <row r="168" spans="1:10" x14ac:dyDescent="0.35">
      <c r="A168" t="s">
        <v>176</v>
      </c>
      <c r="B168" s="2">
        <v>45775</v>
      </c>
      <c r="C168" t="s">
        <v>591</v>
      </c>
      <c r="D168" t="s">
        <v>618</v>
      </c>
      <c r="E168" t="s">
        <v>620</v>
      </c>
      <c r="F168" t="s">
        <v>625</v>
      </c>
      <c r="G168" s="4">
        <v>3</v>
      </c>
      <c r="H168" s="6">
        <v>0</v>
      </c>
      <c r="I168" s="4">
        <v>75</v>
      </c>
      <c r="J168" s="4">
        <v>17.25</v>
      </c>
    </row>
    <row r="169" spans="1:10" x14ac:dyDescent="0.35">
      <c r="A169" t="s">
        <v>177</v>
      </c>
      <c r="B169" s="2">
        <v>45776</v>
      </c>
      <c r="C169" t="s">
        <v>562</v>
      </c>
      <c r="D169" t="s">
        <v>613</v>
      </c>
      <c r="E169" t="s">
        <v>620</v>
      </c>
      <c r="F169" t="s">
        <v>626</v>
      </c>
      <c r="G169" s="4">
        <v>3</v>
      </c>
      <c r="H169" s="6">
        <v>0.05</v>
      </c>
      <c r="I169" s="4">
        <v>627</v>
      </c>
      <c r="J169" s="4">
        <v>87.78</v>
      </c>
    </row>
    <row r="170" spans="1:10" x14ac:dyDescent="0.35">
      <c r="A170" t="s">
        <v>178</v>
      </c>
      <c r="B170" s="2">
        <v>45776</v>
      </c>
      <c r="C170" t="s">
        <v>592</v>
      </c>
      <c r="D170" t="s">
        <v>610</v>
      </c>
      <c r="E170" t="s">
        <v>620</v>
      </c>
      <c r="F170" t="s">
        <v>625</v>
      </c>
      <c r="G170" s="4">
        <v>1</v>
      </c>
      <c r="H170" s="6">
        <v>0.05</v>
      </c>
      <c r="I170" s="4">
        <v>80.75</v>
      </c>
      <c r="J170" s="4">
        <v>15.34</v>
      </c>
    </row>
    <row r="171" spans="1:10" x14ac:dyDescent="0.35">
      <c r="A171" t="s">
        <v>179</v>
      </c>
      <c r="B171" s="2">
        <v>45776</v>
      </c>
      <c r="C171" t="s">
        <v>550</v>
      </c>
      <c r="D171" t="s">
        <v>613</v>
      </c>
      <c r="E171" t="s">
        <v>620</v>
      </c>
      <c r="F171" t="s">
        <v>623</v>
      </c>
      <c r="G171" s="4">
        <v>1</v>
      </c>
      <c r="H171" s="6">
        <v>0</v>
      </c>
      <c r="I171" s="4">
        <v>220</v>
      </c>
      <c r="J171" s="4">
        <v>30.8</v>
      </c>
    </row>
    <row r="172" spans="1:10" x14ac:dyDescent="0.35">
      <c r="A172" t="s">
        <v>180</v>
      </c>
      <c r="B172" s="2">
        <v>45778</v>
      </c>
      <c r="C172" t="s">
        <v>593</v>
      </c>
      <c r="D172" t="s">
        <v>618</v>
      </c>
      <c r="E172" t="s">
        <v>620</v>
      </c>
      <c r="F172" t="s">
        <v>623</v>
      </c>
      <c r="G172" s="4">
        <v>8</v>
      </c>
      <c r="H172" s="6">
        <v>0.1</v>
      </c>
      <c r="I172" s="4">
        <v>180</v>
      </c>
      <c r="J172" s="4">
        <v>41.4</v>
      </c>
    </row>
    <row r="173" spans="1:10" x14ac:dyDescent="0.35">
      <c r="A173" t="s">
        <v>181</v>
      </c>
      <c r="B173" s="2">
        <v>45780</v>
      </c>
      <c r="C173" t="s">
        <v>571</v>
      </c>
      <c r="D173" t="s">
        <v>618</v>
      </c>
      <c r="E173" t="s">
        <v>620</v>
      </c>
      <c r="F173" t="s">
        <v>625</v>
      </c>
      <c r="G173" s="4">
        <v>5</v>
      </c>
      <c r="H173" s="6">
        <v>0</v>
      </c>
      <c r="I173" s="4">
        <v>125</v>
      </c>
      <c r="J173" s="4">
        <v>28.75</v>
      </c>
    </row>
    <row r="174" spans="1:10" x14ac:dyDescent="0.35">
      <c r="A174" t="s">
        <v>182</v>
      </c>
      <c r="B174" s="2">
        <v>45781</v>
      </c>
      <c r="C174" t="s">
        <v>577</v>
      </c>
      <c r="D174" t="s">
        <v>611</v>
      </c>
      <c r="E174" t="s">
        <v>620</v>
      </c>
      <c r="F174" t="s">
        <v>624</v>
      </c>
      <c r="G174" s="4">
        <v>1</v>
      </c>
      <c r="H174" s="6">
        <v>0.05</v>
      </c>
      <c r="I174" s="4">
        <v>617.5</v>
      </c>
      <c r="J174" s="4">
        <v>98.8</v>
      </c>
    </row>
    <row r="175" spans="1:10" x14ac:dyDescent="0.35">
      <c r="A175" t="s">
        <v>183</v>
      </c>
      <c r="B175" s="2">
        <v>45782</v>
      </c>
      <c r="C175" t="s">
        <v>567</v>
      </c>
      <c r="D175" t="s">
        <v>613</v>
      </c>
      <c r="E175" t="s">
        <v>620</v>
      </c>
      <c r="F175" t="s">
        <v>624</v>
      </c>
      <c r="G175" s="4">
        <v>8</v>
      </c>
      <c r="H175" s="6">
        <v>0</v>
      </c>
      <c r="I175" s="4">
        <v>1760</v>
      </c>
      <c r="J175" s="4">
        <v>246.4</v>
      </c>
    </row>
    <row r="176" spans="1:10" x14ac:dyDescent="0.35">
      <c r="A176" t="s">
        <v>184</v>
      </c>
      <c r="B176" s="2">
        <v>45782</v>
      </c>
      <c r="C176" t="s">
        <v>559</v>
      </c>
      <c r="D176" t="s">
        <v>618</v>
      </c>
      <c r="E176" t="s">
        <v>620</v>
      </c>
      <c r="F176" t="s">
        <v>626</v>
      </c>
      <c r="G176" s="4">
        <v>6</v>
      </c>
      <c r="H176" s="6">
        <v>0.05</v>
      </c>
      <c r="I176" s="4">
        <v>142.5</v>
      </c>
      <c r="J176" s="4">
        <v>32.78</v>
      </c>
    </row>
    <row r="177" spans="1:10" x14ac:dyDescent="0.35">
      <c r="A177" t="s">
        <v>185</v>
      </c>
      <c r="B177" s="2">
        <v>45783</v>
      </c>
      <c r="C177" t="s">
        <v>531</v>
      </c>
      <c r="D177" t="s">
        <v>612</v>
      </c>
      <c r="E177" t="s">
        <v>621</v>
      </c>
      <c r="F177" t="s">
        <v>626</v>
      </c>
      <c r="G177" s="4">
        <v>6</v>
      </c>
      <c r="H177" s="6">
        <v>0.1</v>
      </c>
      <c r="I177" s="4">
        <v>64.8</v>
      </c>
      <c r="J177" s="4">
        <v>18.14</v>
      </c>
    </row>
    <row r="178" spans="1:10" x14ac:dyDescent="0.35">
      <c r="A178" t="s">
        <v>186</v>
      </c>
      <c r="B178" s="2">
        <v>45783</v>
      </c>
      <c r="C178" t="s">
        <v>546</v>
      </c>
      <c r="D178" t="s">
        <v>618</v>
      </c>
      <c r="E178" t="s">
        <v>620</v>
      </c>
      <c r="F178" t="s">
        <v>624</v>
      </c>
      <c r="G178" s="4">
        <v>4</v>
      </c>
      <c r="H178" s="6">
        <v>0</v>
      </c>
      <c r="I178" s="4">
        <v>100</v>
      </c>
      <c r="J178" s="4">
        <v>23</v>
      </c>
    </row>
    <row r="179" spans="1:10" x14ac:dyDescent="0.35">
      <c r="A179" t="s">
        <v>187</v>
      </c>
      <c r="B179" s="2">
        <v>45783</v>
      </c>
      <c r="C179" t="s">
        <v>562</v>
      </c>
      <c r="D179" t="s">
        <v>613</v>
      </c>
      <c r="E179" t="s">
        <v>620</v>
      </c>
      <c r="F179" t="s">
        <v>625</v>
      </c>
      <c r="G179" s="4">
        <v>4</v>
      </c>
      <c r="H179" s="6">
        <v>0</v>
      </c>
      <c r="I179" s="4">
        <v>880</v>
      </c>
      <c r="J179" s="4">
        <v>123.2</v>
      </c>
    </row>
    <row r="180" spans="1:10" x14ac:dyDescent="0.35">
      <c r="A180" t="s">
        <v>188</v>
      </c>
      <c r="B180" s="2">
        <v>45784</v>
      </c>
      <c r="C180" t="s">
        <v>528</v>
      </c>
      <c r="D180" t="s">
        <v>612</v>
      </c>
      <c r="E180" t="s">
        <v>621</v>
      </c>
      <c r="F180" t="s">
        <v>624</v>
      </c>
      <c r="G180" s="4">
        <v>2</v>
      </c>
      <c r="H180" s="6">
        <v>0</v>
      </c>
      <c r="I180" s="4">
        <v>24</v>
      </c>
      <c r="J180" s="4">
        <v>6.72</v>
      </c>
    </row>
    <row r="181" spans="1:10" x14ac:dyDescent="0.35">
      <c r="A181" t="s">
        <v>189</v>
      </c>
      <c r="B181" s="2">
        <v>45785</v>
      </c>
      <c r="C181" t="s">
        <v>587</v>
      </c>
      <c r="D181" t="s">
        <v>610</v>
      </c>
      <c r="E181" t="s">
        <v>620</v>
      </c>
      <c r="F181" t="s">
        <v>624</v>
      </c>
      <c r="G181" s="4">
        <v>1</v>
      </c>
      <c r="H181" s="6">
        <v>0.1</v>
      </c>
      <c r="I181" s="4">
        <v>76.5</v>
      </c>
      <c r="J181" s="4">
        <v>14.54</v>
      </c>
    </row>
    <row r="182" spans="1:10" x14ac:dyDescent="0.35">
      <c r="A182" t="s">
        <v>190</v>
      </c>
      <c r="B182" s="2">
        <v>45785</v>
      </c>
      <c r="C182" t="s">
        <v>593</v>
      </c>
      <c r="D182" t="s">
        <v>614</v>
      </c>
      <c r="E182" t="s">
        <v>621</v>
      </c>
      <c r="F182" t="s">
        <v>623</v>
      </c>
      <c r="G182" s="4">
        <v>2</v>
      </c>
      <c r="H182" s="6">
        <v>0.05</v>
      </c>
      <c r="I182" s="4">
        <v>15.2</v>
      </c>
      <c r="J182" s="4">
        <v>4.5599999999999996</v>
      </c>
    </row>
    <row r="183" spans="1:10" x14ac:dyDescent="0.35">
      <c r="A183" t="s">
        <v>191</v>
      </c>
      <c r="B183" s="2">
        <v>45786</v>
      </c>
      <c r="C183" t="s">
        <v>581</v>
      </c>
      <c r="D183" t="s">
        <v>612</v>
      </c>
      <c r="E183" t="s">
        <v>621</v>
      </c>
      <c r="F183" t="s">
        <v>625</v>
      </c>
      <c r="G183" s="4">
        <v>7</v>
      </c>
      <c r="H183" s="6">
        <v>0</v>
      </c>
      <c r="I183" s="4">
        <v>84</v>
      </c>
      <c r="J183" s="4">
        <v>23.52</v>
      </c>
    </row>
    <row r="184" spans="1:10" x14ac:dyDescent="0.35">
      <c r="A184" t="s">
        <v>192</v>
      </c>
      <c r="B184" s="2">
        <v>45786</v>
      </c>
      <c r="C184" t="s">
        <v>553</v>
      </c>
      <c r="D184" t="s">
        <v>611</v>
      </c>
      <c r="E184" t="s">
        <v>620</v>
      </c>
      <c r="F184" t="s">
        <v>625</v>
      </c>
      <c r="G184" s="4">
        <v>8</v>
      </c>
      <c r="H184" s="6">
        <v>0</v>
      </c>
      <c r="I184" s="4">
        <v>5200</v>
      </c>
      <c r="J184" s="4">
        <v>832</v>
      </c>
    </row>
    <row r="185" spans="1:10" x14ac:dyDescent="0.35">
      <c r="A185" t="s">
        <v>193</v>
      </c>
      <c r="B185" s="2">
        <v>45786</v>
      </c>
      <c r="C185" t="s">
        <v>594</v>
      </c>
      <c r="D185" t="s">
        <v>610</v>
      </c>
      <c r="E185" t="s">
        <v>620</v>
      </c>
      <c r="F185" t="s">
        <v>626</v>
      </c>
      <c r="G185" s="4">
        <v>8</v>
      </c>
      <c r="H185" s="6">
        <v>0</v>
      </c>
      <c r="I185" s="4">
        <v>680</v>
      </c>
      <c r="J185" s="4">
        <v>129.19999999999999</v>
      </c>
    </row>
    <row r="186" spans="1:10" x14ac:dyDescent="0.35">
      <c r="A186" t="s">
        <v>194</v>
      </c>
      <c r="B186" s="2">
        <v>45787</v>
      </c>
      <c r="C186" t="s">
        <v>549</v>
      </c>
      <c r="D186" t="s">
        <v>615</v>
      </c>
      <c r="E186" t="s">
        <v>622</v>
      </c>
      <c r="F186" t="s">
        <v>624</v>
      </c>
      <c r="G186" s="4">
        <v>8</v>
      </c>
      <c r="H186" s="6">
        <v>0</v>
      </c>
      <c r="I186" s="4">
        <v>1440</v>
      </c>
      <c r="J186" s="4">
        <v>259.2</v>
      </c>
    </row>
    <row r="187" spans="1:10" x14ac:dyDescent="0.35">
      <c r="A187" t="s">
        <v>195</v>
      </c>
      <c r="B187" s="2">
        <v>45789</v>
      </c>
      <c r="C187" t="s">
        <v>593</v>
      </c>
      <c r="D187" t="s">
        <v>618</v>
      </c>
      <c r="E187" t="s">
        <v>620</v>
      </c>
      <c r="F187" t="s">
        <v>623</v>
      </c>
      <c r="G187" s="4">
        <v>6</v>
      </c>
      <c r="H187" s="6">
        <v>0</v>
      </c>
      <c r="I187" s="4">
        <v>150</v>
      </c>
      <c r="J187" s="4">
        <v>34.5</v>
      </c>
    </row>
    <row r="188" spans="1:10" x14ac:dyDescent="0.35">
      <c r="A188" t="s">
        <v>196</v>
      </c>
      <c r="B188" s="2">
        <v>45789</v>
      </c>
      <c r="C188" t="s">
        <v>542</v>
      </c>
      <c r="D188" t="s">
        <v>614</v>
      </c>
      <c r="E188" t="s">
        <v>621</v>
      </c>
      <c r="F188" t="s">
        <v>625</v>
      </c>
      <c r="G188" s="4">
        <v>6</v>
      </c>
      <c r="H188" s="6">
        <v>0.1</v>
      </c>
      <c r="I188" s="4">
        <v>43.2</v>
      </c>
      <c r="J188" s="4">
        <v>12.96</v>
      </c>
    </row>
    <row r="189" spans="1:10" x14ac:dyDescent="0.35">
      <c r="A189" t="s">
        <v>197</v>
      </c>
      <c r="B189" s="2">
        <v>45791</v>
      </c>
      <c r="C189" t="s">
        <v>591</v>
      </c>
      <c r="D189" t="s">
        <v>618</v>
      </c>
      <c r="E189" t="s">
        <v>620</v>
      </c>
      <c r="F189" t="s">
        <v>624</v>
      </c>
      <c r="G189" s="4">
        <v>6</v>
      </c>
      <c r="H189" s="6">
        <v>0</v>
      </c>
      <c r="I189" s="4">
        <v>150</v>
      </c>
      <c r="J189" s="4">
        <v>34.5</v>
      </c>
    </row>
    <row r="190" spans="1:10" x14ac:dyDescent="0.35">
      <c r="A190" t="s">
        <v>198</v>
      </c>
      <c r="B190" s="2">
        <v>45791</v>
      </c>
      <c r="C190" t="s">
        <v>554</v>
      </c>
      <c r="D190" t="s">
        <v>610</v>
      </c>
      <c r="E190" t="s">
        <v>620</v>
      </c>
      <c r="F190" t="s">
        <v>626</v>
      </c>
      <c r="G190" s="4">
        <v>5</v>
      </c>
      <c r="H190" s="6">
        <v>0</v>
      </c>
      <c r="I190" s="4">
        <v>425</v>
      </c>
      <c r="J190" s="4">
        <v>80.75</v>
      </c>
    </row>
    <row r="191" spans="1:10" x14ac:dyDescent="0.35">
      <c r="A191" t="s">
        <v>199</v>
      </c>
      <c r="B191" s="2">
        <v>45792</v>
      </c>
      <c r="C191" t="s">
        <v>521</v>
      </c>
      <c r="D191" t="s">
        <v>615</v>
      </c>
      <c r="E191" t="s">
        <v>622</v>
      </c>
      <c r="F191" t="s">
        <v>624</v>
      </c>
      <c r="G191" s="4">
        <v>8</v>
      </c>
      <c r="H191" s="6">
        <v>0</v>
      </c>
      <c r="I191" s="4">
        <v>1440</v>
      </c>
      <c r="J191" s="4">
        <v>259.2</v>
      </c>
    </row>
    <row r="192" spans="1:10" x14ac:dyDescent="0.35">
      <c r="A192" t="s">
        <v>200</v>
      </c>
      <c r="B192" s="2">
        <v>45792</v>
      </c>
      <c r="C192" t="s">
        <v>561</v>
      </c>
      <c r="D192" t="s">
        <v>616</v>
      </c>
      <c r="E192" t="s">
        <v>622</v>
      </c>
      <c r="F192" t="s">
        <v>623</v>
      </c>
      <c r="G192" s="4">
        <v>3</v>
      </c>
      <c r="H192" s="6">
        <v>0</v>
      </c>
      <c r="I192" s="4">
        <v>780</v>
      </c>
      <c r="J192" s="4">
        <v>117</v>
      </c>
    </row>
    <row r="193" spans="1:10" x14ac:dyDescent="0.35">
      <c r="A193" t="s">
        <v>201</v>
      </c>
      <c r="B193" s="2">
        <v>45793</v>
      </c>
      <c r="C193" t="s">
        <v>553</v>
      </c>
      <c r="D193" t="s">
        <v>615</v>
      </c>
      <c r="E193" t="s">
        <v>622</v>
      </c>
      <c r="F193" t="s">
        <v>625</v>
      </c>
      <c r="G193" s="4">
        <v>2</v>
      </c>
      <c r="H193" s="6">
        <v>0.05</v>
      </c>
      <c r="I193" s="4">
        <v>342</v>
      </c>
      <c r="J193" s="4">
        <v>61.56</v>
      </c>
    </row>
    <row r="194" spans="1:10" x14ac:dyDescent="0.35">
      <c r="A194" t="s">
        <v>202</v>
      </c>
      <c r="B194" s="2">
        <v>45794</v>
      </c>
      <c r="C194" t="s">
        <v>539</v>
      </c>
      <c r="D194" t="s">
        <v>612</v>
      </c>
      <c r="E194" t="s">
        <v>621</v>
      </c>
      <c r="F194" t="s">
        <v>625</v>
      </c>
      <c r="G194" s="4">
        <v>6</v>
      </c>
      <c r="H194" s="6">
        <v>0.05</v>
      </c>
      <c r="I194" s="4">
        <v>68.400000000000006</v>
      </c>
      <c r="J194" s="4">
        <v>19.149999999999999</v>
      </c>
    </row>
    <row r="195" spans="1:10" x14ac:dyDescent="0.35">
      <c r="A195" t="s">
        <v>203</v>
      </c>
      <c r="B195" s="2">
        <v>45794</v>
      </c>
      <c r="C195" t="s">
        <v>559</v>
      </c>
      <c r="D195" t="s">
        <v>609</v>
      </c>
      <c r="E195" t="s">
        <v>619</v>
      </c>
      <c r="F195" t="s">
        <v>624</v>
      </c>
      <c r="G195" s="4">
        <v>7</v>
      </c>
      <c r="H195" s="6">
        <v>0</v>
      </c>
      <c r="I195" s="4">
        <v>385</v>
      </c>
      <c r="J195" s="4">
        <v>84.7</v>
      </c>
    </row>
    <row r="196" spans="1:10" x14ac:dyDescent="0.35">
      <c r="A196" t="s">
        <v>204</v>
      </c>
      <c r="B196" s="2">
        <v>45794</v>
      </c>
      <c r="C196" t="s">
        <v>520</v>
      </c>
      <c r="D196" t="s">
        <v>616</v>
      </c>
      <c r="E196" t="s">
        <v>622</v>
      </c>
      <c r="F196" t="s">
        <v>624</v>
      </c>
      <c r="G196" s="4">
        <v>7</v>
      </c>
      <c r="H196" s="6">
        <v>0</v>
      </c>
      <c r="I196" s="4">
        <v>1820</v>
      </c>
      <c r="J196" s="4">
        <v>273</v>
      </c>
    </row>
    <row r="197" spans="1:10" x14ac:dyDescent="0.35">
      <c r="A197" t="s">
        <v>205</v>
      </c>
      <c r="B197" s="2">
        <v>45794</v>
      </c>
      <c r="C197" t="s">
        <v>595</v>
      </c>
      <c r="D197" t="s">
        <v>613</v>
      </c>
      <c r="E197" t="s">
        <v>620</v>
      </c>
      <c r="F197" t="s">
        <v>625</v>
      </c>
      <c r="G197" s="4">
        <v>6</v>
      </c>
      <c r="H197" s="6">
        <v>0</v>
      </c>
      <c r="I197" s="4">
        <v>1320</v>
      </c>
      <c r="J197" s="4">
        <v>184.8</v>
      </c>
    </row>
    <row r="198" spans="1:10" x14ac:dyDescent="0.35">
      <c r="A198" t="s">
        <v>206</v>
      </c>
      <c r="B198" s="2">
        <v>45795</v>
      </c>
      <c r="C198" t="s">
        <v>528</v>
      </c>
      <c r="D198" t="s">
        <v>618</v>
      </c>
      <c r="E198" t="s">
        <v>620</v>
      </c>
      <c r="F198" t="s">
        <v>626</v>
      </c>
      <c r="G198" s="4">
        <v>5</v>
      </c>
      <c r="H198" s="6">
        <v>0</v>
      </c>
      <c r="I198" s="4">
        <v>125</v>
      </c>
      <c r="J198" s="4">
        <v>28.75</v>
      </c>
    </row>
    <row r="199" spans="1:10" x14ac:dyDescent="0.35">
      <c r="A199" t="s">
        <v>207</v>
      </c>
      <c r="B199" s="2">
        <v>45799</v>
      </c>
      <c r="C199" t="s">
        <v>560</v>
      </c>
      <c r="D199" t="s">
        <v>609</v>
      </c>
      <c r="E199" t="s">
        <v>619</v>
      </c>
      <c r="F199" t="s">
        <v>626</v>
      </c>
      <c r="G199" s="4">
        <v>8</v>
      </c>
      <c r="H199" s="6">
        <v>0</v>
      </c>
      <c r="I199" s="4">
        <v>440</v>
      </c>
      <c r="J199" s="4">
        <v>96.8</v>
      </c>
    </row>
    <row r="200" spans="1:10" x14ac:dyDescent="0.35">
      <c r="A200" t="s">
        <v>208</v>
      </c>
      <c r="B200" s="2">
        <v>45799</v>
      </c>
      <c r="C200" t="s">
        <v>536</v>
      </c>
      <c r="D200" t="s">
        <v>611</v>
      </c>
      <c r="E200" t="s">
        <v>620</v>
      </c>
      <c r="F200" t="s">
        <v>626</v>
      </c>
      <c r="G200" s="4">
        <v>3</v>
      </c>
      <c r="H200" s="6">
        <v>0.1</v>
      </c>
      <c r="I200" s="4">
        <v>1755</v>
      </c>
      <c r="J200" s="4">
        <v>280.8</v>
      </c>
    </row>
    <row r="201" spans="1:10" x14ac:dyDescent="0.35">
      <c r="A201" t="s">
        <v>209</v>
      </c>
      <c r="B201" s="2">
        <v>45799</v>
      </c>
      <c r="C201" t="s">
        <v>583</v>
      </c>
      <c r="D201" t="s">
        <v>611</v>
      </c>
      <c r="E201" t="s">
        <v>620</v>
      </c>
      <c r="F201" t="s">
        <v>626</v>
      </c>
      <c r="G201" s="4">
        <v>2</v>
      </c>
      <c r="H201" s="6">
        <v>0.05</v>
      </c>
      <c r="I201" s="4">
        <v>1235</v>
      </c>
      <c r="J201" s="4">
        <v>197.6</v>
      </c>
    </row>
    <row r="202" spans="1:10" x14ac:dyDescent="0.35">
      <c r="A202" t="s">
        <v>210</v>
      </c>
      <c r="B202" s="2">
        <v>45800</v>
      </c>
      <c r="C202" t="s">
        <v>542</v>
      </c>
      <c r="D202" t="s">
        <v>618</v>
      </c>
      <c r="E202" t="s">
        <v>620</v>
      </c>
      <c r="F202" t="s">
        <v>623</v>
      </c>
      <c r="G202" s="4">
        <v>7</v>
      </c>
      <c r="H202" s="6">
        <v>0</v>
      </c>
      <c r="I202" s="4">
        <v>175</v>
      </c>
      <c r="J202" s="4">
        <v>40.25</v>
      </c>
    </row>
    <row r="203" spans="1:10" x14ac:dyDescent="0.35">
      <c r="A203" t="s">
        <v>211</v>
      </c>
      <c r="B203" s="2">
        <v>45800</v>
      </c>
      <c r="C203" t="s">
        <v>552</v>
      </c>
      <c r="D203" t="s">
        <v>612</v>
      </c>
      <c r="E203" t="s">
        <v>621</v>
      </c>
      <c r="F203" t="s">
        <v>624</v>
      </c>
      <c r="G203" s="4">
        <v>5</v>
      </c>
      <c r="H203" s="6">
        <v>0</v>
      </c>
      <c r="I203" s="4">
        <v>60</v>
      </c>
      <c r="J203" s="4">
        <v>16.8</v>
      </c>
    </row>
    <row r="204" spans="1:10" x14ac:dyDescent="0.35">
      <c r="A204" t="s">
        <v>212</v>
      </c>
      <c r="B204" s="2">
        <v>45801</v>
      </c>
      <c r="C204" t="s">
        <v>553</v>
      </c>
      <c r="D204" t="s">
        <v>612</v>
      </c>
      <c r="E204" t="s">
        <v>621</v>
      </c>
      <c r="F204" t="s">
        <v>625</v>
      </c>
      <c r="G204" s="4">
        <v>4</v>
      </c>
      <c r="H204" s="6">
        <v>0</v>
      </c>
      <c r="I204" s="4">
        <v>48</v>
      </c>
      <c r="J204" s="4">
        <v>13.44</v>
      </c>
    </row>
    <row r="205" spans="1:10" x14ac:dyDescent="0.35">
      <c r="A205" t="s">
        <v>213</v>
      </c>
      <c r="B205" s="2">
        <v>45801</v>
      </c>
      <c r="C205" t="s">
        <v>575</v>
      </c>
      <c r="D205" t="s">
        <v>615</v>
      </c>
      <c r="E205" t="s">
        <v>622</v>
      </c>
      <c r="F205" t="s">
        <v>623</v>
      </c>
      <c r="G205" s="4">
        <v>3</v>
      </c>
      <c r="H205" s="6">
        <v>0</v>
      </c>
      <c r="I205" s="4">
        <v>540</v>
      </c>
      <c r="J205" s="4">
        <v>97.2</v>
      </c>
    </row>
    <row r="206" spans="1:10" x14ac:dyDescent="0.35">
      <c r="A206" t="s">
        <v>214</v>
      </c>
      <c r="B206" s="2">
        <v>45801</v>
      </c>
      <c r="C206" t="s">
        <v>517</v>
      </c>
      <c r="D206" t="s">
        <v>615</v>
      </c>
      <c r="E206" t="s">
        <v>622</v>
      </c>
      <c r="F206" t="s">
        <v>625</v>
      </c>
      <c r="G206" s="4">
        <v>3</v>
      </c>
      <c r="H206" s="6">
        <v>0</v>
      </c>
      <c r="I206" s="4">
        <v>540</v>
      </c>
      <c r="J206" s="4">
        <v>97.2</v>
      </c>
    </row>
    <row r="207" spans="1:10" x14ac:dyDescent="0.35">
      <c r="A207" t="s">
        <v>215</v>
      </c>
      <c r="B207" s="2">
        <v>45801</v>
      </c>
      <c r="C207" t="s">
        <v>585</v>
      </c>
      <c r="D207" t="s">
        <v>617</v>
      </c>
      <c r="E207" t="s">
        <v>620</v>
      </c>
      <c r="F207" t="s">
        <v>625</v>
      </c>
      <c r="G207" s="4">
        <v>8</v>
      </c>
      <c r="H207" s="6">
        <v>0.05</v>
      </c>
      <c r="I207" s="4">
        <v>342</v>
      </c>
      <c r="J207" s="4">
        <v>68.400000000000006</v>
      </c>
    </row>
    <row r="208" spans="1:10" x14ac:dyDescent="0.35">
      <c r="A208" t="s">
        <v>216</v>
      </c>
      <c r="B208" s="2">
        <v>45802</v>
      </c>
      <c r="C208" t="s">
        <v>596</v>
      </c>
      <c r="D208" t="s">
        <v>609</v>
      </c>
      <c r="E208" t="s">
        <v>619</v>
      </c>
      <c r="F208" t="s">
        <v>623</v>
      </c>
      <c r="G208" s="4">
        <v>4</v>
      </c>
      <c r="H208" s="6">
        <v>0</v>
      </c>
      <c r="I208" s="4">
        <v>220</v>
      </c>
      <c r="J208" s="4">
        <v>48.4</v>
      </c>
    </row>
    <row r="209" spans="1:10" x14ac:dyDescent="0.35">
      <c r="A209" t="s">
        <v>217</v>
      </c>
      <c r="B209" s="2">
        <v>45802</v>
      </c>
      <c r="C209" t="s">
        <v>594</v>
      </c>
      <c r="D209" t="s">
        <v>613</v>
      </c>
      <c r="E209" t="s">
        <v>620</v>
      </c>
      <c r="F209" t="s">
        <v>625</v>
      </c>
      <c r="G209" s="4">
        <v>2</v>
      </c>
      <c r="H209" s="6">
        <v>0.1</v>
      </c>
      <c r="I209" s="4">
        <v>396</v>
      </c>
      <c r="J209" s="4">
        <v>55.44</v>
      </c>
    </row>
    <row r="210" spans="1:10" x14ac:dyDescent="0.35">
      <c r="A210" t="s">
        <v>218</v>
      </c>
      <c r="B210" s="2">
        <v>45804</v>
      </c>
      <c r="C210" t="s">
        <v>597</v>
      </c>
      <c r="D210" t="s">
        <v>618</v>
      </c>
      <c r="E210" t="s">
        <v>620</v>
      </c>
      <c r="F210" t="s">
        <v>623</v>
      </c>
      <c r="G210" s="4">
        <v>6</v>
      </c>
      <c r="H210" s="6">
        <v>0</v>
      </c>
      <c r="I210" s="4">
        <v>150</v>
      </c>
      <c r="J210" s="4">
        <v>34.5</v>
      </c>
    </row>
    <row r="211" spans="1:10" x14ac:dyDescent="0.35">
      <c r="A211" t="s">
        <v>219</v>
      </c>
      <c r="B211" s="2">
        <v>45804</v>
      </c>
      <c r="C211" t="s">
        <v>527</v>
      </c>
      <c r="D211" t="s">
        <v>617</v>
      </c>
      <c r="E211" t="s">
        <v>620</v>
      </c>
      <c r="F211" t="s">
        <v>626</v>
      </c>
      <c r="G211" s="4">
        <v>7</v>
      </c>
      <c r="H211" s="6">
        <v>0</v>
      </c>
      <c r="I211" s="4">
        <v>315</v>
      </c>
      <c r="J211" s="4">
        <v>63</v>
      </c>
    </row>
    <row r="212" spans="1:10" x14ac:dyDescent="0.35">
      <c r="A212" t="s">
        <v>220</v>
      </c>
      <c r="B212" s="2">
        <v>45805</v>
      </c>
      <c r="C212" t="s">
        <v>523</v>
      </c>
      <c r="D212" t="s">
        <v>614</v>
      </c>
      <c r="E212" t="s">
        <v>621</v>
      </c>
      <c r="F212" t="s">
        <v>623</v>
      </c>
      <c r="G212" s="4">
        <v>4</v>
      </c>
      <c r="H212" s="6">
        <v>0.05</v>
      </c>
      <c r="I212" s="4">
        <v>30.4</v>
      </c>
      <c r="J212" s="4">
        <v>9.1199999999999992</v>
      </c>
    </row>
    <row r="213" spans="1:10" x14ac:dyDescent="0.35">
      <c r="A213" t="s">
        <v>221</v>
      </c>
      <c r="B213" s="2">
        <v>45805</v>
      </c>
      <c r="C213" t="s">
        <v>598</v>
      </c>
      <c r="D213" t="s">
        <v>611</v>
      </c>
      <c r="E213" t="s">
        <v>620</v>
      </c>
      <c r="F213" t="s">
        <v>623</v>
      </c>
      <c r="G213" s="4">
        <v>5</v>
      </c>
      <c r="H213" s="6">
        <v>0</v>
      </c>
      <c r="I213" s="4">
        <v>3250</v>
      </c>
      <c r="J213" s="4">
        <v>520</v>
      </c>
    </row>
    <row r="214" spans="1:10" x14ac:dyDescent="0.35">
      <c r="A214" t="s">
        <v>222</v>
      </c>
      <c r="B214" s="2">
        <v>45806</v>
      </c>
      <c r="C214" t="s">
        <v>561</v>
      </c>
      <c r="D214" t="s">
        <v>617</v>
      </c>
      <c r="E214" t="s">
        <v>620</v>
      </c>
      <c r="F214" t="s">
        <v>624</v>
      </c>
      <c r="G214" s="4">
        <v>8</v>
      </c>
      <c r="H214" s="6">
        <v>0.05</v>
      </c>
      <c r="I214" s="4">
        <v>342</v>
      </c>
      <c r="J214" s="4">
        <v>68.400000000000006</v>
      </c>
    </row>
    <row r="215" spans="1:10" x14ac:dyDescent="0.35">
      <c r="A215" t="s">
        <v>223</v>
      </c>
      <c r="B215" s="2">
        <v>45806</v>
      </c>
      <c r="C215" t="s">
        <v>554</v>
      </c>
      <c r="D215" t="s">
        <v>610</v>
      </c>
      <c r="E215" t="s">
        <v>620</v>
      </c>
      <c r="F215" t="s">
        <v>623</v>
      </c>
      <c r="G215" s="4">
        <v>3</v>
      </c>
      <c r="H215" s="6">
        <v>0</v>
      </c>
      <c r="I215" s="4">
        <v>255</v>
      </c>
      <c r="J215" s="4">
        <v>48.45</v>
      </c>
    </row>
    <row r="216" spans="1:10" x14ac:dyDescent="0.35">
      <c r="A216" t="s">
        <v>224</v>
      </c>
      <c r="B216" s="2">
        <v>45808</v>
      </c>
      <c r="C216" t="s">
        <v>574</v>
      </c>
      <c r="D216" t="s">
        <v>610</v>
      </c>
      <c r="E216" t="s">
        <v>620</v>
      </c>
      <c r="F216" t="s">
        <v>624</v>
      </c>
      <c r="G216" s="4">
        <v>1</v>
      </c>
      <c r="H216" s="6">
        <v>0.05</v>
      </c>
      <c r="I216" s="4">
        <v>80.75</v>
      </c>
      <c r="J216" s="4">
        <v>15.34</v>
      </c>
    </row>
    <row r="217" spans="1:10" x14ac:dyDescent="0.35">
      <c r="A217" t="s">
        <v>225</v>
      </c>
      <c r="B217" s="2">
        <v>45808</v>
      </c>
      <c r="C217" t="s">
        <v>599</v>
      </c>
      <c r="D217" t="s">
        <v>614</v>
      </c>
      <c r="E217" t="s">
        <v>621</v>
      </c>
      <c r="F217" t="s">
        <v>626</v>
      </c>
      <c r="G217" s="4">
        <v>4</v>
      </c>
      <c r="H217" s="6">
        <v>0</v>
      </c>
      <c r="I217" s="4">
        <v>32</v>
      </c>
      <c r="J217" s="4">
        <v>9.6</v>
      </c>
    </row>
    <row r="218" spans="1:10" x14ac:dyDescent="0.35">
      <c r="A218" t="s">
        <v>226</v>
      </c>
      <c r="B218" s="2">
        <v>45808</v>
      </c>
      <c r="C218" t="s">
        <v>600</v>
      </c>
      <c r="D218" t="s">
        <v>613</v>
      </c>
      <c r="E218" t="s">
        <v>620</v>
      </c>
      <c r="F218" t="s">
        <v>624</v>
      </c>
      <c r="G218" s="4">
        <v>4</v>
      </c>
      <c r="H218" s="6">
        <v>0</v>
      </c>
      <c r="I218" s="4">
        <v>880</v>
      </c>
      <c r="J218" s="4">
        <v>123.2</v>
      </c>
    </row>
    <row r="219" spans="1:10" x14ac:dyDescent="0.35">
      <c r="A219" t="s">
        <v>227</v>
      </c>
      <c r="B219" s="2">
        <v>45809</v>
      </c>
      <c r="C219" t="s">
        <v>601</v>
      </c>
      <c r="D219" t="s">
        <v>618</v>
      </c>
      <c r="E219" t="s">
        <v>620</v>
      </c>
      <c r="F219" t="s">
        <v>624</v>
      </c>
      <c r="G219" s="4">
        <v>4</v>
      </c>
      <c r="H219" s="6">
        <v>0</v>
      </c>
      <c r="I219" s="4">
        <v>100</v>
      </c>
      <c r="J219" s="4">
        <v>23</v>
      </c>
    </row>
    <row r="220" spans="1:10" x14ac:dyDescent="0.35">
      <c r="A220" t="s">
        <v>228</v>
      </c>
      <c r="B220" s="2">
        <v>45809</v>
      </c>
      <c r="C220" t="s">
        <v>555</v>
      </c>
      <c r="D220" t="s">
        <v>615</v>
      </c>
      <c r="E220" t="s">
        <v>622</v>
      </c>
      <c r="F220" t="s">
        <v>625</v>
      </c>
      <c r="G220" s="4">
        <v>4</v>
      </c>
      <c r="H220" s="6">
        <v>0</v>
      </c>
      <c r="I220" s="4">
        <v>720</v>
      </c>
      <c r="J220" s="4">
        <v>129.6</v>
      </c>
    </row>
    <row r="221" spans="1:10" x14ac:dyDescent="0.35">
      <c r="A221" t="s">
        <v>229</v>
      </c>
      <c r="B221" s="2">
        <v>45809</v>
      </c>
      <c r="C221" t="s">
        <v>566</v>
      </c>
      <c r="D221" t="s">
        <v>615</v>
      </c>
      <c r="E221" t="s">
        <v>622</v>
      </c>
      <c r="F221" t="s">
        <v>624</v>
      </c>
      <c r="G221" s="4">
        <v>8</v>
      </c>
      <c r="H221" s="6">
        <v>0</v>
      </c>
      <c r="I221" s="4">
        <v>1440</v>
      </c>
      <c r="J221" s="4">
        <v>259.2</v>
      </c>
    </row>
    <row r="222" spans="1:10" x14ac:dyDescent="0.35">
      <c r="A222" t="s">
        <v>230</v>
      </c>
      <c r="B222" s="2">
        <v>45809</v>
      </c>
      <c r="C222" t="s">
        <v>595</v>
      </c>
      <c r="D222" t="s">
        <v>617</v>
      </c>
      <c r="E222" t="s">
        <v>620</v>
      </c>
      <c r="F222" t="s">
        <v>623</v>
      </c>
      <c r="G222" s="4">
        <v>6</v>
      </c>
      <c r="H222" s="6">
        <v>0.05</v>
      </c>
      <c r="I222" s="4">
        <v>256.5</v>
      </c>
      <c r="J222" s="4">
        <v>51.3</v>
      </c>
    </row>
    <row r="223" spans="1:10" x14ac:dyDescent="0.35">
      <c r="A223" t="s">
        <v>231</v>
      </c>
      <c r="B223" s="2">
        <v>45809</v>
      </c>
      <c r="C223" t="s">
        <v>572</v>
      </c>
      <c r="D223" t="s">
        <v>617</v>
      </c>
      <c r="E223" t="s">
        <v>620</v>
      </c>
      <c r="F223" t="s">
        <v>623</v>
      </c>
      <c r="G223" s="4">
        <v>6</v>
      </c>
      <c r="H223" s="6">
        <v>0</v>
      </c>
      <c r="I223" s="4">
        <v>270</v>
      </c>
      <c r="J223" s="4">
        <v>54</v>
      </c>
    </row>
    <row r="224" spans="1:10" x14ac:dyDescent="0.35">
      <c r="A224" t="s">
        <v>232</v>
      </c>
      <c r="B224" s="2">
        <v>45809</v>
      </c>
      <c r="C224" t="s">
        <v>580</v>
      </c>
      <c r="D224" t="s">
        <v>617</v>
      </c>
      <c r="E224" t="s">
        <v>620</v>
      </c>
      <c r="F224" t="s">
        <v>625</v>
      </c>
      <c r="G224" s="4">
        <v>4</v>
      </c>
      <c r="H224" s="6">
        <v>0.05</v>
      </c>
      <c r="I224" s="4">
        <v>171</v>
      </c>
      <c r="J224" s="4">
        <v>34.200000000000003</v>
      </c>
    </row>
    <row r="225" spans="1:10" x14ac:dyDescent="0.35">
      <c r="A225" t="s">
        <v>233</v>
      </c>
      <c r="B225" s="2">
        <v>45810</v>
      </c>
      <c r="C225" t="s">
        <v>576</v>
      </c>
      <c r="D225" t="s">
        <v>610</v>
      </c>
      <c r="E225" t="s">
        <v>620</v>
      </c>
      <c r="F225" t="s">
        <v>623</v>
      </c>
      <c r="G225" s="4">
        <v>3</v>
      </c>
      <c r="H225" s="6">
        <v>0</v>
      </c>
      <c r="I225" s="4">
        <v>255</v>
      </c>
      <c r="J225" s="4">
        <v>48.45</v>
      </c>
    </row>
    <row r="226" spans="1:10" x14ac:dyDescent="0.35">
      <c r="A226" t="s">
        <v>234</v>
      </c>
      <c r="B226" s="2">
        <v>45810</v>
      </c>
      <c r="C226" t="s">
        <v>601</v>
      </c>
      <c r="D226" t="s">
        <v>612</v>
      </c>
      <c r="E226" t="s">
        <v>621</v>
      </c>
      <c r="F226" t="s">
        <v>626</v>
      </c>
      <c r="G226" s="4">
        <v>1</v>
      </c>
      <c r="H226" s="6">
        <v>0.05</v>
      </c>
      <c r="I226" s="4">
        <v>11.4</v>
      </c>
      <c r="J226" s="4">
        <v>3.19</v>
      </c>
    </row>
    <row r="227" spans="1:10" x14ac:dyDescent="0.35">
      <c r="A227" t="s">
        <v>235</v>
      </c>
      <c r="B227" s="2">
        <v>45811</v>
      </c>
      <c r="C227" t="s">
        <v>561</v>
      </c>
      <c r="D227" t="s">
        <v>613</v>
      </c>
      <c r="E227" t="s">
        <v>620</v>
      </c>
      <c r="F227" t="s">
        <v>625</v>
      </c>
      <c r="G227" s="4">
        <v>1</v>
      </c>
      <c r="H227" s="6">
        <v>0</v>
      </c>
      <c r="I227" s="4">
        <v>220</v>
      </c>
      <c r="J227" s="4">
        <v>30.8</v>
      </c>
    </row>
    <row r="228" spans="1:10" x14ac:dyDescent="0.35">
      <c r="A228" t="s">
        <v>236</v>
      </c>
      <c r="B228" s="2">
        <v>45811</v>
      </c>
      <c r="C228" t="s">
        <v>570</v>
      </c>
      <c r="D228" t="s">
        <v>612</v>
      </c>
      <c r="E228" t="s">
        <v>621</v>
      </c>
      <c r="F228" t="s">
        <v>626</v>
      </c>
      <c r="G228" s="4">
        <v>5</v>
      </c>
      <c r="H228" s="6">
        <v>0.05</v>
      </c>
      <c r="I228" s="4">
        <v>57</v>
      </c>
      <c r="J228" s="4">
        <v>15.96</v>
      </c>
    </row>
    <row r="229" spans="1:10" x14ac:dyDescent="0.35">
      <c r="A229" t="s">
        <v>237</v>
      </c>
      <c r="B229" s="2">
        <v>45812</v>
      </c>
      <c r="C229" t="s">
        <v>567</v>
      </c>
      <c r="D229" t="s">
        <v>617</v>
      </c>
      <c r="E229" t="s">
        <v>620</v>
      </c>
      <c r="F229" t="s">
        <v>626</v>
      </c>
      <c r="G229" s="4">
        <v>7</v>
      </c>
      <c r="H229" s="6">
        <v>0.1</v>
      </c>
      <c r="I229" s="4">
        <v>283.5</v>
      </c>
      <c r="J229" s="4">
        <v>56.7</v>
      </c>
    </row>
    <row r="230" spans="1:10" x14ac:dyDescent="0.35">
      <c r="A230" t="s">
        <v>238</v>
      </c>
      <c r="B230" s="2">
        <v>45813</v>
      </c>
      <c r="C230" t="s">
        <v>518</v>
      </c>
      <c r="D230" t="s">
        <v>614</v>
      </c>
      <c r="E230" t="s">
        <v>621</v>
      </c>
      <c r="F230" t="s">
        <v>625</v>
      </c>
      <c r="G230" s="4">
        <v>2</v>
      </c>
      <c r="H230" s="6">
        <v>0</v>
      </c>
      <c r="I230" s="4">
        <v>16</v>
      </c>
      <c r="J230" s="4">
        <v>4.8</v>
      </c>
    </row>
    <row r="231" spans="1:10" x14ac:dyDescent="0.35">
      <c r="A231" t="s">
        <v>239</v>
      </c>
      <c r="B231" s="2">
        <v>45813</v>
      </c>
      <c r="C231" t="s">
        <v>594</v>
      </c>
      <c r="D231" t="s">
        <v>614</v>
      </c>
      <c r="E231" t="s">
        <v>621</v>
      </c>
      <c r="F231" t="s">
        <v>623</v>
      </c>
      <c r="G231" s="4">
        <v>4</v>
      </c>
      <c r="H231" s="6">
        <v>0</v>
      </c>
      <c r="I231" s="4">
        <v>32</v>
      </c>
      <c r="J231" s="4">
        <v>9.6</v>
      </c>
    </row>
    <row r="232" spans="1:10" x14ac:dyDescent="0.35">
      <c r="A232" t="s">
        <v>240</v>
      </c>
      <c r="B232" s="2">
        <v>45814</v>
      </c>
      <c r="C232" t="s">
        <v>532</v>
      </c>
      <c r="D232" t="s">
        <v>612</v>
      </c>
      <c r="E232" t="s">
        <v>621</v>
      </c>
      <c r="F232" t="s">
        <v>625</v>
      </c>
      <c r="G232" s="4">
        <v>3</v>
      </c>
      <c r="H232" s="6">
        <v>0</v>
      </c>
      <c r="I232" s="4">
        <v>36</v>
      </c>
      <c r="J232" s="4">
        <v>10.08</v>
      </c>
    </row>
    <row r="233" spans="1:10" x14ac:dyDescent="0.35">
      <c r="A233" t="s">
        <v>241</v>
      </c>
      <c r="B233" s="2">
        <v>45814</v>
      </c>
      <c r="C233" t="s">
        <v>541</v>
      </c>
      <c r="D233" t="s">
        <v>609</v>
      </c>
      <c r="E233" t="s">
        <v>619</v>
      </c>
      <c r="F233" t="s">
        <v>624</v>
      </c>
      <c r="G233" s="4">
        <v>5</v>
      </c>
      <c r="H233" s="6">
        <v>0.05</v>
      </c>
      <c r="I233" s="4">
        <v>261.25</v>
      </c>
      <c r="J233" s="4">
        <v>57.48</v>
      </c>
    </row>
    <row r="234" spans="1:10" x14ac:dyDescent="0.35">
      <c r="A234" t="s">
        <v>242</v>
      </c>
      <c r="B234" s="2">
        <v>45817</v>
      </c>
      <c r="C234" t="s">
        <v>602</v>
      </c>
      <c r="D234" t="s">
        <v>613</v>
      </c>
      <c r="E234" t="s">
        <v>620</v>
      </c>
      <c r="F234" t="s">
        <v>624</v>
      </c>
      <c r="G234" s="4">
        <v>1</v>
      </c>
      <c r="H234" s="6">
        <v>0.05</v>
      </c>
      <c r="I234" s="4">
        <v>209</v>
      </c>
      <c r="J234" s="4">
        <v>29.26</v>
      </c>
    </row>
    <row r="235" spans="1:10" x14ac:dyDescent="0.35">
      <c r="A235" t="s">
        <v>243</v>
      </c>
      <c r="B235" s="2">
        <v>45817</v>
      </c>
      <c r="C235" t="s">
        <v>592</v>
      </c>
      <c r="D235" t="s">
        <v>616</v>
      </c>
      <c r="E235" t="s">
        <v>622</v>
      </c>
      <c r="F235" t="s">
        <v>624</v>
      </c>
      <c r="G235" s="4">
        <v>7</v>
      </c>
      <c r="H235" s="6">
        <v>0</v>
      </c>
      <c r="I235" s="4">
        <v>1820</v>
      </c>
      <c r="J235" s="4">
        <v>273</v>
      </c>
    </row>
    <row r="236" spans="1:10" x14ac:dyDescent="0.35">
      <c r="A236" t="s">
        <v>244</v>
      </c>
      <c r="B236" s="2">
        <v>45817</v>
      </c>
      <c r="C236" t="s">
        <v>573</v>
      </c>
      <c r="D236" t="s">
        <v>614</v>
      </c>
      <c r="E236" t="s">
        <v>621</v>
      </c>
      <c r="F236" t="s">
        <v>626</v>
      </c>
      <c r="G236" s="4">
        <v>7</v>
      </c>
      <c r="H236" s="6">
        <v>0.15</v>
      </c>
      <c r="I236" s="4">
        <v>47.6</v>
      </c>
      <c r="J236" s="4">
        <v>14.28</v>
      </c>
    </row>
    <row r="237" spans="1:10" x14ac:dyDescent="0.35">
      <c r="A237" t="s">
        <v>245</v>
      </c>
      <c r="B237" s="2">
        <v>45817</v>
      </c>
      <c r="C237" t="s">
        <v>596</v>
      </c>
      <c r="D237" t="s">
        <v>612</v>
      </c>
      <c r="E237" t="s">
        <v>621</v>
      </c>
      <c r="F237" t="s">
        <v>624</v>
      </c>
      <c r="G237" s="4">
        <v>2</v>
      </c>
      <c r="H237" s="6">
        <v>0.05</v>
      </c>
      <c r="I237" s="4">
        <v>22.8</v>
      </c>
      <c r="J237" s="4">
        <v>6.38</v>
      </c>
    </row>
    <row r="238" spans="1:10" x14ac:dyDescent="0.35">
      <c r="A238" t="s">
        <v>246</v>
      </c>
      <c r="B238" s="2">
        <v>45818</v>
      </c>
      <c r="C238" t="s">
        <v>552</v>
      </c>
      <c r="D238" t="s">
        <v>616</v>
      </c>
      <c r="E238" t="s">
        <v>622</v>
      </c>
      <c r="F238" t="s">
        <v>623</v>
      </c>
      <c r="G238" s="4">
        <v>8</v>
      </c>
      <c r="H238" s="6">
        <v>0.05</v>
      </c>
      <c r="I238" s="4">
        <v>1976</v>
      </c>
      <c r="J238" s="4">
        <v>296.39999999999998</v>
      </c>
    </row>
    <row r="239" spans="1:10" x14ac:dyDescent="0.35">
      <c r="A239" t="s">
        <v>247</v>
      </c>
      <c r="B239" s="2">
        <v>45818</v>
      </c>
      <c r="C239" t="s">
        <v>577</v>
      </c>
      <c r="D239" t="s">
        <v>614</v>
      </c>
      <c r="E239" t="s">
        <v>621</v>
      </c>
      <c r="F239" t="s">
        <v>623</v>
      </c>
      <c r="G239" s="4">
        <v>5</v>
      </c>
      <c r="H239" s="6">
        <v>0.05</v>
      </c>
      <c r="I239" s="4">
        <v>38</v>
      </c>
      <c r="J239" s="4">
        <v>11.4</v>
      </c>
    </row>
    <row r="240" spans="1:10" x14ac:dyDescent="0.35">
      <c r="A240" t="s">
        <v>248</v>
      </c>
      <c r="B240" s="2">
        <v>45818</v>
      </c>
      <c r="C240" t="s">
        <v>541</v>
      </c>
      <c r="D240" t="s">
        <v>610</v>
      </c>
      <c r="E240" t="s">
        <v>620</v>
      </c>
      <c r="F240" t="s">
        <v>625</v>
      </c>
      <c r="G240" s="4">
        <v>5</v>
      </c>
      <c r="H240" s="6">
        <v>0</v>
      </c>
      <c r="I240" s="4">
        <v>425</v>
      </c>
      <c r="J240" s="4">
        <v>80.75</v>
      </c>
    </row>
    <row r="241" spans="1:10" x14ac:dyDescent="0.35">
      <c r="A241" t="s">
        <v>249</v>
      </c>
      <c r="B241" s="2">
        <v>45819</v>
      </c>
      <c r="C241" t="s">
        <v>571</v>
      </c>
      <c r="D241" t="s">
        <v>618</v>
      </c>
      <c r="E241" t="s">
        <v>620</v>
      </c>
      <c r="F241" t="s">
        <v>626</v>
      </c>
      <c r="G241" s="4">
        <v>3</v>
      </c>
      <c r="H241" s="6">
        <v>0</v>
      </c>
      <c r="I241" s="4">
        <v>75</v>
      </c>
      <c r="J241" s="4">
        <v>17.25</v>
      </c>
    </row>
    <row r="242" spans="1:10" x14ac:dyDescent="0.35">
      <c r="A242" t="s">
        <v>250</v>
      </c>
      <c r="B242" s="2">
        <v>45820</v>
      </c>
      <c r="C242" t="s">
        <v>577</v>
      </c>
      <c r="D242" t="s">
        <v>609</v>
      </c>
      <c r="E242" t="s">
        <v>619</v>
      </c>
      <c r="F242" t="s">
        <v>626</v>
      </c>
      <c r="G242" s="4">
        <v>5</v>
      </c>
      <c r="H242" s="6">
        <v>0</v>
      </c>
      <c r="I242" s="4">
        <v>275</v>
      </c>
      <c r="J242" s="4">
        <v>60.5</v>
      </c>
    </row>
    <row r="243" spans="1:10" x14ac:dyDescent="0.35">
      <c r="A243" t="s">
        <v>251</v>
      </c>
      <c r="B243" s="2">
        <v>45820</v>
      </c>
      <c r="C243" t="s">
        <v>580</v>
      </c>
      <c r="D243" t="s">
        <v>617</v>
      </c>
      <c r="E243" t="s">
        <v>620</v>
      </c>
      <c r="F243" t="s">
        <v>624</v>
      </c>
      <c r="G243" s="4">
        <v>1</v>
      </c>
      <c r="H243" s="6">
        <v>0.05</v>
      </c>
      <c r="I243" s="4">
        <v>42.75</v>
      </c>
      <c r="J243" s="4">
        <v>8.5500000000000007</v>
      </c>
    </row>
    <row r="244" spans="1:10" x14ac:dyDescent="0.35">
      <c r="A244" t="s">
        <v>252</v>
      </c>
      <c r="B244" s="2">
        <v>45820</v>
      </c>
      <c r="C244" t="s">
        <v>603</v>
      </c>
      <c r="D244" t="s">
        <v>610</v>
      </c>
      <c r="E244" t="s">
        <v>620</v>
      </c>
      <c r="F244" t="s">
        <v>625</v>
      </c>
      <c r="G244" s="4">
        <v>7</v>
      </c>
      <c r="H244" s="6">
        <v>0.05</v>
      </c>
      <c r="I244" s="4">
        <v>565.25</v>
      </c>
      <c r="J244" s="4">
        <v>107.4</v>
      </c>
    </row>
    <row r="245" spans="1:10" x14ac:dyDescent="0.35">
      <c r="A245" t="s">
        <v>253</v>
      </c>
      <c r="B245" s="2">
        <v>45821</v>
      </c>
      <c r="C245" t="s">
        <v>517</v>
      </c>
      <c r="D245" t="s">
        <v>611</v>
      </c>
      <c r="E245" t="s">
        <v>620</v>
      </c>
      <c r="F245" t="s">
        <v>623</v>
      </c>
      <c r="G245" s="4">
        <v>8</v>
      </c>
      <c r="H245" s="6">
        <v>0</v>
      </c>
      <c r="I245" s="4">
        <v>5200</v>
      </c>
      <c r="J245" s="4">
        <v>832</v>
      </c>
    </row>
    <row r="246" spans="1:10" x14ac:dyDescent="0.35">
      <c r="A246" t="s">
        <v>254</v>
      </c>
      <c r="B246" s="2">
        <v>45821</v>
      </c>
      <c r="C246" t="s">
        <v>601</v>
      </c>
      <c r="D246" t="s">
        <v>609</v>
      </c>
      <c r="E246" t="s">
        <v>619</v>
      </c>
      <c r="F246" t="s">
        <v>623</v>
      </c>
      <c r="G246" s="4">
        <v>3</v>
      </c>
      <c r="H246" s="6">
        <v>0</v>
      </c>
      <c r="I246" s="4">
        <v>165</v>
      </c>
      <c r="J246" s="4">
        <v>36.299999999999997</v>
      </c>
    </row>
    <row r="247" spans="1:10" x14ac:dyDescent="0.35">
      <c r="A247" t="s">
        <v>255</v>
      </c>
      <c r="B247" s="2">
        <v>45822</v>
      </c>
      <c r="C247" t="s">
        <v>604</v>
      </c>
      <c r="D247" t="s">
        <v>617</v>
      </c>
      <c r="E247" t="s">
        <v>620</v>
      </c>
      <c r="F247" t="s">
        <v>623</v>
      </c>
      <c r="G247" s="4">
        <v>5</v>
      </c>
      <c r="H247" s="6">
        <v>0.05</v>
      </c>
      <c r="I247" s="4">
        <v>213.75</v>
      </c>
      <c r="J247" s="4">
        <v>42.75</v>
      </c>
    </row>
    <row r="248" spans="1:10" x14ac:dyDescent="0.35">
      <c r="A248" t="s">
        <v>256</v>
      </c>
      <c r="B248" s="2">
        <v>45822</v>
      </c>
      <c r="C248" t="s">
        <v>518</v>
      </c>
      <c r="D248" t="s">
        <v>615</v>
      </c>
      <c r="E248" t="s">
        <v>622</v>
      </c>
      <c r="F248" t="s">
        <v>625</v>
      </c>
      <c r="G248" s="4">
        <v>4</v>
      </c>
      <c r="H248" s="6">
        <v>0</v>
      </c>
      <c r="I248" s="4">
        <v>720</v>
      </c>
      <c r="J248" s="4">
        <v>129.6</v>
      </c>
    </row>
    <row r="249" spans="1:10" x14ac:dyDescent="0.35">
      <c r="A249" t="s">
        <v>257</v>
      </c>
      <c r="B249" s="2">
        <v>45825</v>
      </c>
      <c r="C249" t="s">
        <v>586</v>
      </c>
      <c r="D249" t="s">
        <v>614</v>
      </c>
      <c r="E249" t="s">
        <v>621</v>
      </c>
      <c r="F249" t="s">
        <v>625</v>
      </c>
      <c r="G249" s="4">
        <v>3</v>
      </c>
      <c r="H249" s="6">
        <v>0.05</v>
      </c>
      <c r="I249" s="4">
        <v>22.8</v>
      </c>
      <c r="J249" s="4">
        <v>6.84</v>
      </c>
    </row>
    <row r="250" spans="1:10" x14ac:dyDescent="0.35">
      <c r="A250" t="s">
        <v>258</v>
      </c>
      <c r="B250" s="2">
        <v>45827</v>
      </c>
      <c r="C250" t="s">
        <v>597</v>
      </c>
      <c r="D250" t="s">
        <v>610</v>
      </c>
      <c r="E250" t="s">
        <v>620</v>
      </c>
      <c r="F250" t="s">
        <v>626</v>
      </c>
      <c r="G250" s="4">
        <v>5</v>
      </c>
      <c r="H250" s="6">
        <v>0.05</v>
      </c>
      <c r="I250" s="4">
        <v>403.75</v>
      </c>
      <c r="J250" s="4">
        <v>76.709999999999994</v>
      </c>
    </row>
    <row r="251" spans="1:10" x14ac:dyDescent="0.35">
      <c r="A251" t="s">
        <v>259</v>
      </c>
      <c r="B251" s="2">
        <v>45828</v>
      </c>
      <c r="C251" t="s">
        <v>605</v>
      </c>
      <c r="D251" t="s">
        <v>609</v>
      </c>
      <c r="E251" t="s">
        <v>619</v>
      </c>
      <c r="F251" t="s">
        <v>626</v>
      </c>
      <c r="G251" s="4">
        <v>4</v>
      </c>
      <c r="H251" s="6">
        <v>0.1</v>
      </c>
      <c r="I251" s="4">
        <v>198</v>
      </c>
      <c r="J251" s="4">
        <v>43.56</v>
      </c>
    </row>
    <row r="252" spans="1:10" x14ac:dyDescent="0.35">
      <c r="A252" t="s">
        <v>260</v>
      </c>
      <c r="B252" s="2">
        <v>45829</v>
      </c>
      <c r="C252" t="s">
        <v>606</v>
      </c>
      <c r="D252" t="s">
        <v>613</v>
      </c>
      <c r="E252" t="s">
        <v>620</v>
      </c>
      <c r="F252" t="s">
        <v>625</v>
      </c>
      <c r="G252" s="4">
        <v>5</v>
      </c>
      <c r="H252" s="6">
        <v>0.05</v>
      </c>
      <c r="I252" s="4">
        <v>1045</v>
      </c>
      <c r="J252" s="4">
        <v>146.30000000000001</v>
      </c>
    </row>
    <row r="253" spans="1:10" x14ac:dyDescent="0.35">
      <c r="A253" t="s">
        <v>261</v>
      </c>
      <c r="B253" s="2">
        <v>45829</v>
      </c>
      <c r="C253" t="s">
        <v>567</v>
      </c>
      <c r="D253" t="s">
        <v>616</v>
      </c>
      <c r="E253" t="s">
        <v>622</v>
      </c>
      <c r="F253" t="s">
        <v>626</v>
      </c>
      <c r="G253" s="4">
        <v>3</v>
      </c>
      <c r="H253" s="6">
        <v>0.1</v>
      </c>
      <c r="I253" s="4">
        <v>702</v>
      </c>
      <c r="J253" s="4">
        <v>105.3</v>
      </c>
    </row>
    <row r="254" spans="1:10" x14ac:dyDescent="0.35">
      <c r="A254" t="s">
        <v>262</v>
      </c>
      <c r="B254" s="2">
        <v>45830</v>
      </c>
      <c r="C254" t="s">
        <v>519</v>
      </c>
      <c r="D254" t="s">
        <v>611</v>
      </c>
      <c r="E254" t="s">
        <v>620</v>
      </c>
      <c r="F254" t="s">
        <v>623</v>
      </c>
      <c r="G254" s="4">
        <v>3</v>
      </c>
      <c r="H254" s="6">
        <v>0</v>
      </c>
      <c r="I254" s="4">
        <v>1950</v>
      </c>
      <c r="J254" s="4">
        <v>312</v>
      </c>
    </row>
    <row r="255" spans="1:10" x14ac:dyDescent="0.35">
      <c r="A255" t="s">
        <v>263</v>
      </c>
      <c r="B255" s="2">
        <v>45830</v>
      </c>
      <c r="C255" t="s">
        <v>556</v>
      </c>
      <c r="D255" t="s">
        <v>609</v>
      </c>
      <c r="E255" t="s">
        <v>619</v>
      </c>
      <c r="F255" t="s">
        <v>626</v>
      </c>
      <c r="G255" s="4">
        <v>2</v>
      </c>
      <c r="H255" s="6">
        <v>0</v>
      </c>
      <c r="I255" s="4">
        <v>110</v>
      </c>
      <c r="J255" s="4">
        <v>24.2</v>
      </c>
    </row>
    <row r="256" spans="1:10" x14ac:dyDescent="0.35">
      <c r="A256" t="s">
        <v>264</v>
      </c>
      <c r="B256" s="2">
        <v>45830</v>
      </c>
      <c r="C256" t="s">
        <v>558</v>
      </c>
      <c r="D256" t="s">
        <v>616</v>
      </c>
      <c r="E256" t="s">
        <v>622</v>
      </c>
      <c r="F256" t="s">
        <v>623</v>
      </c>
      <c r="G256" s="4">
        <v>7</v>
      </c>
      <c r="H256" s="6">
        <v>0</v>
      </c>
      <c r="I256" s="4">
        <v>1820</v>
      </c>
      <c r="J256" s="4">
        <v>273</v>
      </c>
    </row>
    <row r="257" spans="1:10" x14ac:dyDescent="0.35">
      <c r="A257" t="s">
        <v>265</v>
      </c>
      <c r="B257" s="2">
        <v>45830</v>
      </c>
      <c r="C257" t="s">
        <v>599</v>
      </c>
      <c r="D257" t="s">
        <v>618</v>
      </c>
      <c r="E257" t="s">
        <v>620</v>
      </c>
      <c r="F257" t="s">
        <v>626</v>
      </c>
      <c r="G257" s="4">
        <v>4</v>
      </c>
      <c r="H257" s="6">
        <v>0</v>
      </c>
      <c r="I257" s="4">
        <v>100</v>
      </c>
      <c r="J257" s="4">
        <v>23</v>
      </c>
    </row>
    <row r="258" spans="1:10" x14ac:dyDescent="0.35">
      <c r="A258" t="s">
        <v>266</v>
      </c>
      <c r="B258" s="2">
        <v>45831</v>
      </c>
      <c r="C258" t="s">
        <v>606</v>
      </c>
      <c r="D258" t="s">
        <v>617</v>
      </c>
      <c r="E258" t="s">
        <v>620</v>
      </c>
      <c r="F258" t="s">
        <v>626</v>
      </c>
      <c r="G258" s="4">
        <v>8</v>
      </c>
      <c r="H258" s="6">
        <v>0.05</v>
      </c>
      <c r="I258" s="4">
        <v>342</v>
      </c>
      <c r="J258" s="4">
        <v>68.400000000000006</v>
      </c>
    </row>
    <row r="259" spans="1:10" x14ac:dyDescent="0.35">
      <c r="A259" t="s">
        <v>267</v>
      </c>
      <c r="B259" s="2">
        <v>45832</v>
      </c>
      <c r="C259" t="s">
        <v>565</v>
      </c>
      <c r="D259" t="s">
        <v>611</v>
      </c>
      <c r="E259" t="s">
        <v>620</v>
      </c>
      <c r="F259" t="s">
        <v>625</v>
      </c>
      <c r="G259" s="4">
        <v>6</v>
      </c>
      <c r="H259" s="6">
        <v>0</v>
      </c>
      <c r="I259" s="4">
        <v>3900</v>
      </c>
      <c r="J259" s="4">
        <v>624</v>
      </c>
    </row>
    <row r="260" spans="1:10" x14ac:dyDescent="0.35">
      <c r="A260" t="s">
        <v>268</v>
      </c>
      <c r="B260" s="2">
        <v>45832</v>
      </c>
      <c r="C260" t="s">
        <v>595</v>
      </c>
      <c r="D260" t="s">
        <v>610</v>
      </c>
      <c r="E260" t="s">
        <v>620</v>
      </c>
      <c r="F260" t="s">
        <v>623</v>
      </c>
      <c r="G260" s="4">
        <v>3</v>
      </c>
      <c r="H260" s="6">
        <v>0</v>
      </c>
      <c r="I260" s="4">
        <v>255</v>
      </c>
      <c r="J260" s="4">
        <v>48.45</v>
      </c>
    </row>
    <row r="261" spans="1:10" x14ac:dyDescent="0.35">
      <c r="A261" t="s">
        <v>269</v>
      </c>
      <c r="B261" s="2">
        <v>45836</v>
      </c>
      <c r="C261" t="s">
        <v>527</v>
      </c>
      <c r="D261" t="s">
        <v>618</v>
      </c>
      <c r="E261" t="s">
        <v>620</v>
      </c>
      <c r="F261" t="s">
        <v>624</v>
      </c>
      <c r="G261" s="4">
        <v>2</v>
      </c>
      <c r="H261" s="6">
        <v>0.05</v>
      </c>
      <c r="I261" s="4">
        <v>47.5</v>
      </c>
      <c r="J261" s="4">
        <v>10.92</v>
      </c>
    </row>
    <row r="262" spans="1:10" x14ac:dyDescent="0.35">
      <c r="A262" t="s">
        <v>270</v>
      </c>
      <c r="B262" s="2">
        <v>45837</v>
      </c>
      <c r="C262" t="s">
        <v>577</v>
      </c>
      <c r="D262" t="s">
        <v>614</v>
      </c>
      <c r="E262" t="s">
        <v>621</v>
      </c>
      <c r="F262" t="s">
        <v>625</v>
      </c>
      <c r="G262" s="4">
        <v>1</v>
      </c>
      <c r="H262" s="6">
        <v>0</v>
      </c>
      <c r="I262" s="4">
        <v>8</v>
      </c>
      <c r="J262" s="4">
        <v>2.4</v>
      </c>
    </row>
    <row r="263" spans="1:10" x14ac:dyDescent="0.35">
      <c r="A263" t="s">
        <v>271</v>
      </c>
      <c r="B263" s="2">
        <v>45837</v>
      </c>
      <c r="C263" t="s">
        <v>584</v>
      </c>
      <c r="D263" t="s">
        <v>609</v>
      </c>
      <c r="E263" t="s">
        <v>619</v>
      </c>
      <c r="F263" t="s">
        <v>623</v>
      </c>
      <c r="G263" s="4">
        <v>1</v>
      </c>
      <c r="H263" s="6">
        <v>0.15</v>
      </c>
      <c r="I263" s="4">
        <v>46.75</v>
      </c>
      <c r="J263" s="4">
        <v>10.28</v>
      </c>
    </row>
    <row r="264" spans="1:10" x14ac:dyDescent="0.35">
      <c r="A264" t="s">
        <v>272</v>
      </c>
      <c r="B264" s="2">
        <v>45838</v>
      </c>
      <c r="C264" t="s">
        <v>513</v>
      </c>
      <c r="D264" t="s">
        <v>611</v>
      </c>
      <c r="E264" t="s">
        <v>620</v>
      </c>
      <c r="F264" t="s">
        <v>624</v>
      </c>
      <c r="G264" s="4">
        <v>6</v>
      </c>
      <c r="H264" s="6">
        <v>0.15</v>
      </c>
      <c r="I264" s="4">
        <v>3315</v>
      </c>
      <c r="J264" s="4">
        <v>530.4</v>
      </c>
    </row>
    <row r="265" spans="1:10" x14ac:dyDescent="0.35">
      <c r="A265" t="s">
        <v>273</v>
      </c>
      <c r="B265" s="2">
        <v>45840</v>
      </c>
      <c r="C265" t="s">
        <v>579</v>
      </c>
      <c r="D265" t="s">
        <v>615</v>
      </c>
      <c r="E265" t="s">
        <v>622</v>
      </c>
      <c r="F265" t="s">
        <v>623</v>
      </c>
      <c r="G265" s="4">
        <v>6</v>
      </c>
      <c r="H265" s="6">
        <v>0</v>
      </c>
      <c r="I265" s="4">
        <v>1080</v>
      </c>
      <c r="J265" s="4">
        <v>194.4</v>
      </c>
    </row>
    <row r="266" spans="1:10" x14ac:dyDescent="0.35">
      <c r="A266" t="s">
        <v>274</v>
      </c>
      <c r="B266" s="2">
        <v>45840</v>
      </c>
      <c r="C266" t="s">
        <v>546</v>
      </c>
      <c r="D266" t="s">
        <v>609</v>
      </c>
      <c r="E266" t="s">
        <v>619</v>
      </c>
      <c r="F266" t="s">
        <v>624</v>
      </c>
      <c r="G266" s="4">
        <v>2</v>
      </c>
      <c r="H266" s="6">
        <v>0</v>
      </c>
      <c r="I266" s="4">
        <v>110</v>
      </c>
      <c r="J266" s="4">
        <v>24.2</v>
      </c>
    </row>
    <row r="267" spans="1:10" x14ac:dyDescent="0.35">
      <c r="A267" t="s">
        <v>275</v>
      </c>
      <c r="B267" s="2">
        <v>45840</v>
      </c>
      <c r="C267" t="s">
        <v>517</v>
      </c>
      <c r="D267" t="s">
        <v>616</v>
      </c>
      <c r="E267" t="s">
        <v>622</v>
      </c>
      <c r="F267" t="s">
        <v>623</v>
      </c>
      <c r="G267" s="4">
        <v>4</v>
      </c>
      <c r="H267" s="6">
        <v>0.05</v>
      </c>
      <c r="I267" s="4">
        <v>988</v>
      </c>
      <c r="J267" s="4">
        <v>148.19999999999999</v>
      </c>
    </row>
    <row r="268" spans="1:10" x14ac:dyDescent="0.35">
      <c r="A268" t="s">
        <v>276</v>
      </c>
      <c r="B268" s="2">
        <v>45842</v>
      </c>
      <c r="C268" t="s">
        <v>607</v>
      </c>
      <c r="D268" t="s">
        <v>616</v>
      </c>
      <c r="E268" t="s">
        <v>622</v>
      </c>
      <c r="F268" t="s">
        <v>626</v>
      </c>
      <c r="G268" s="4">
        <v>4</v>
      </c>
      <c r="H268" s="6">
        <v>0</v>
      </c>
      <c r="I268" s="4">
        <v>1040</v>
      </c>
      <c r="J268" s="4">
        <v>156</v>
      </c>
    </row>
    <row r="269" spans="1:10" x14ac:dyDescent="0.35">
      <c r="A269" t="s">
        <v>277</v>
      </c>
      <c r="B269" s="2">
        <v>45843</v>
      </c>
      <c r="C269" t="s">
        <v>578</v>
      </c>
      <c r="D269" t="s">
        <v>609</v>
      </c>
      <c r="E269" t="s">
        <v>619</v>
      </c>
      <c r="F269" t="s">
        <v>626</v>
      </c>
      <c r="G269" s="4">
        <v>2</v>
      </c>
      <c r="H269" s="6">
        <v>0</v>
      </c>
      <c r="I269" s="4">
        <v>110</v>
      </c>
      <c r="J269" s="4">
        <v>24.2</v>
      </c>
    </row>
    <row r="270" spans="1:10" x14ac:dyDescent="0.35">
      <c r="A270" t="s">
        <v>278</v>
      </c>
      <c r="B270" s="2">
        <v>45843</v>
      </c>
      <c r="C270" t="s">
        <v>570</v>
      </c>
      <c r="D270" t="s">
        <v>616</v>
      </c>
      <c r="E270" t="s">
        <v>622</v>
      </c>
      <c r="F270" t="s">
        <v>624</v>
      </c>
      <c r="G270" s="4">
        <v>2</v>
      </c>
      <c r="H270" s="6">
        <v>0</v>
      </c>
      <c r="I270" s="4">
        <v>520</v>
      </c>
      <c r="J270" s="4">
        <v>78</v>
      </c>
    </row>
    <row r="271" spans="1:10" x14ac:dyDescent="0.35">
      <c r="A271" t="s">
        <v>279</v>
      </c>
      <c r="B271" s="2">
        <v>45844</v>
      </c>
      <c r="C271" t="s">
        <v>555</v>
      </c>
      <c r="D271" t="s">
        <v>610</v>
      </c>
      <c r="E271" t="s">
        <v>620</v>
      </c>
      <c r="F271" t="s">
        <v>624</v>
      </c>
      <c r="G271" s="4">
        <v>6</v>
      </c>
      <c r="H271" s="6">
        <v>0</v>
      </c>
      <c r="I271" s="4">
        <v>510</v>
      </c>
      <c r="J271" s="4">
        <v>96.9</v>
      </c>
    </row>
    <row r="272" spans="1:10" x14ac:dyDescent="0.35">
      <c r="A272" t="s">
        <v>280</v>
      </c>
      <c r="B272" s="2">
        <v>45845</v>
      </c>
      <c r="C272" t="s">
        <v>597</v>
      </c>
      <c r="D272" t="s">
        <v>611</v>
      </c>
      <c r="E272" t="s">
        <v>620</v>
      </c>
      <c r="F272" t="s">
        <v>624</v>
      </c>
      <c r="G272" s="4">
        <v>3</v>
      </c>
      <c r="H272" s="6">
        <v>0</v>
      </c>
      <c r="I272" s="4">
        <v>1950</v>
      </c>
      <c r="J272" s="4">
        <v>312</v>
      </c>
    </row>
    <row r="273" spans="1:10" x14ac:dyDescent="0.35">
      <c r="A273" t="s">
        <v>281</v>
      </c>
      <c r="B273" s="2">
        <v>45845</v>
      </c>
      <c r="C273" t="s">
        <v>542</v>
      </c>
      <c r="D273" t="s">
        <v>617</v>
      </c>
      <c r="E273" t="s">
        <v>620</v>
      </c>
      <c r="F273" t="s">
        <v>626</v>
      </c>
      <c r="G273" s="4">
        <v>7</v>
      </c>
      <c r="H273" s="6">
        <v>0</v>
      </c>
      <c r="I273" s="4">
        <v>315</v>
      </c>
      <c r="J273" s="4">
        <v>63</v>
      </c>
    </row>
    <row r="274" spans="1:10" x14ac:dyDescent="0.35">
      <c r="A274" t="s">
        <v>282</v>
      </c>
      <c r="B274" s="2">
        <v>45845</v>
      </c>
      <c r="C274" t="s">
        <v>537</v>
      </c>
      <c r="D274" t="s">
        <v>618</v>
      </c>
      <c r="E274" t="s">
        <v>620</v>
      </c>
      <c r="F274" t="s">
        <v>626</v>
      </c>
      <c r="G274" s="4">
        <v>8</v>
      </c>
      <c r="H274" s="6">
        <v>0</v>
      </c>
      <c r="I274" s="4">
        <v>200</v>
      </c>
      <c r="J274" s="4">
        <v>46</v>
      </c>
    </row>
    <row r="275" spans="1:10" x14ac:dyDescent="0.35">
      <c r="A275" t="s">
        <v>283</v>
      </c>
      <c r="B275" s="2">
        <v>45845</v>
      </c>
      <c r="C275" t="s">
        <v>542</v>
      </c>
      <c r="D275" t="s">
        <v>612</v>
      </c>
      <c r="E275" t="s">
        <v>621</v>
      </c>
      <c r="F275" t="s">
        <v>625</v>
      </c>
      <c r="G275" s="4">
        <v>8</v>
      </c>
      <c r="H275" s="6">
        <v>0.05</v>
      </c>
      <c r="I275" s="4">
        <v>91.2</v>
      </c>
      <c r="J275" s="4">
        <v>25.54</v>
      </c>
    </row>
    <row r="276" spans="1:10" x14ac:dyDescent="0.35">
      <c r="A276" t="s">
        <v>284</v>
      </c>
      <c r="B276" s="2">
        <v>45845</v>
      </c>
      <c r="C276" t="s">
        <v>540</v>
      </c>
      <c r="D276" t="s">
        <v>617</v>
      </c>
      <c r="E276" t="s">
        <v>620</v>
      </c>
      <c r="F276" t="s">
        <v>623</v>
      </c>
      <c r="G276" s="4">
        <v>4</v>
      </c>
      <c r="H276" s="6">
        <v>0.1</v>
      </c>
      <c r="I276" s="4">
        <v>162</v>
      </c>
      <c r="J276" s="4">
        <v>32.4</v>
      </c>
    </row>
    <row r="277" spans="1:10" x14ac:dyDescent="0.35">
      <c r="A277" t="s">
        <v>285</v>
      </c>
      <c r="B277" s="2">
        <v>45847</v>
      </c>
      <c r="C277" t="s">
        <v>518</v>
      </c>
      <c r="D277" t="s">
        <v>612</v>
      </c>
      <c r="E277" t="s">
        <v>621</v>
      </c>
      <c r="F277" t="s">
        <v>626</v>
      </c>
      <c r="G277" s="4">
        <v>4</v>
      </c>
      <c r="H277" s="6">
        <v>0</v>
      </c>
      <c r="I277" s="4">
        <v>48</v>
      </c>
      <c r="J277" s="4">
        <v>13.44</v>
      </c>
    </row>
    <row r="278" spans="1:10" x14ac:dyDescent="0.35">
      <c r="A278" t="s">
        <v>286</v>
      </c>
      <c r="B278" s="2">
        <v>45848</v>
      </c>
      <c r="C278" t="s">
        <v>538</v>
      </c>
      <c r="D278" t="s">
        <v>615</v>
      </c>
      <c r="E278" t="s">
        <v>622</v>
      </c>
      <c r="F278" t="s">
        <v>625</v>
      </c>
      <c r="G278" s="4">
        <v>6</v>
      </c>
      <c r="H278" s="6">
        <v>0</v>
      </c>
      <c r="I278" s="4">
        <v>1080</v>
      </c>
      <c r="J278" s="4">
        <v>194.4</v>
      </c>
    </row>
    <row r="279" spans="1:10" x14ac:dyDescent="0.35">
      <c r="A279" t="s">
        <v>287</v>
      </c>
      <c r="B279" s="2">
        <v>45849</v>
      </c>
      <c r="C279" t="s">
        <v>555</v>
      </c>
      <c r="D279" t="s">
        <v>610</v>
      </c>
      <c r="E279" t="s">
        <v>620</v>
      </c>
      <c r="F279" t="s">
        <v>624</v>
      </c>
      <c r="G279" s="4">
        <v>8</v>
      </c>
      <c r="H279" s="6">
        <v>0.05</v>
      </c>
      <c r="I279" s="4">
        <v>646</v>
      </c>
      <c r="J279" s="4">
        <v>122.74</v>
      </c>
    </row>
    <row r="280" spans="1:10" x14ac:dyDescent="0.35">
      <c r="A280" t="s">
        <v>288</v>
      </c>
      <c r="B280" s="2">
        <v>45850</v>
      </c>
      <c r="C280" t="s">
        <v>538</v>
      </c>
      <c r="D280" t="s">
        <v>611</v>
      </c>
      <c r="E280" t="s">
        <v>620</v>
      </c>
      <c r="F280" t="s">
        <v>625</v>
      </c>
      <c r="G280" s="4">
        <v>2</v>
      </c>
      <c r="H280" s="6">
        <v>0</v>
      </c>
      <c r="I280" s="4">
        <v>1300</v>
      </c>
      <c r="J280" s="4">
        <v>208</v>
      </c>
    </row>
    <row r="281" spans="1:10" x14ac:dyDescent="0.35">
      <c r="A281" t="s">
        <v>289</v>
      </c>
      <c r="B281" s="2">
        <v>45852</v>
      </c>
      <c r="C281" t="s">
        <v>551</v>
      </c>
      <c r="D281" t="s">
        <v>617</v>
      </c>
      <c r="E281" t="s">
        <v>620</v>
      </c>
      <c r="F281" t="s">
        <v>624</v>
      </c>
      <c r="G281" s="4">
        <v>8</v>
      </c>
      <c r="H281" s="6">
        <v>0.15</v>
      </c>
      <c r="I281" s="4">
        <v>306</v>
      </c>
      <c r="J281" s="4">
        <v>61.2</v>
      </c>
    </row>
    <row r="282" spans="1:10" x14ac:dyDescent="0.35">
      <c r="A282" t="s">
        <v>290</v>
      </c>
      <c r="B282" s="2">
        <v>45853</v>
      </c>
      <c r="C282" t="s">
        <v>555</v>
      </c>
      <c r="D282" t="s">
        <v>610</v>
      </c>
      <c r="E282" t="s">
        <v>620</v>
      </c>
      <c r="F282" t="s">
        <v>623</v>
      </c>
      <c r="G282" s="4">
        <v>7</v>
      </c>
      <c r="H282" s="6">
        <v>0.1</v>
      </c>
      <c r="I282" s="4">
        <v>535.5</v>
      </c>
      <c r="J282" s="4">
        <v>101.74</v>
      </c>
    </row>
    <row r="283" spans="1:10" x14ac:dyDescent="0.35">
      <c r="A283" t="s">
        <v>291</v>
      </c>
      <c r="B283" s="2">
        <v>45853</v>
      </c>
      <c r="C283" t="s">
        <v>527</v>
      </c>
      <c r="D283" t="s">
        <v>616</v>
      </c>
      <c r="E283" t="s">
        <v>622</v>
      </c>
      <c r="F283" t="s">
        <v>625</v>
      </c>
      <c r="G283" s="4">
        <v>7</v>
      </c>
      <c r="H283" s="6">
        <v>0</v>
      </c>
      <c r="I283" s="4">
        <v>1820</v>
      </c>
      <c r="J283" s="4">
        <v>273</v>
      </c>
    </row>
    <row r="284" spans="1:10" x14ac:dyDescent="0.35">
      <c r="A284" t="s">
        <v>292</v>
      </c>
      <c r="B284" s="2">
        <v>45853</v>
      </c>
      <c r="C284" t="s">
        <v>580</v>
      </c>
      <c r="D284" t="s">
        <v>610</v>
      </c>
      <c r="E284" t="s">
        <v>620</v>
      </c>
      <c r="F284" t="s">
        <v>625</v>
      </c>
      <c r="G284" s="4">
        <v>5</v>
      </c>
      <c r="H284" s="6">
        <v>0.05</v>
      </c>
      <c r="I284" s="4">
        <v>403.75</v>
      </c>
      <c r="J284" s="4">
        <v>76.709999999999994</v>
      </c>
    </row>
    <row r="285" spans="1:10" x14ac:dyDescent="0.35">
      <c r="A285" t="s">
        <v>293</v>
      </c>
      <c r="B285" s="2">
        <v>45855</v>
      </c>
      <c r="C285" t="s">
        <v>601</v>
      </c>
      <c r="D285" t="s">
        <v>612</v>
      </c>
      <c r="E285" t="s">
        <v>621</v>
      </c>
      <c r="F285" t="s">
        <v>623</v>
      </c>
      <c r="G285" s="4">
        <v>3</v>
      </c>
      <c r="H285" s="6">
        <v>0</v>
      </c>
      <c r="I285" s="4">
        <v>36</v>
      </c>
      <c r="J285" s="4">
        <v>10.08</v>
      </c>
    </row>
    <row r="286" spans="1:10" x14ac:dyDescent="0.35">
      <c r="A286" t="s">
        <v>294</v>
      </c>
      <c r="B286" s="2">
        <v>45855</v>
      </c>
      <c r="C286" t="s">
        <v>531</v>
      </c>
      <c r="D286" t="s">
        <v>616</v>
      </c>
      <c r="E286" t="s">
        <v>622</v>
      </c>
      <c r="F286" t="s">
        <v>626</v>
      </c>
      <c r="G286" s="4">
        <v>6</v>
      </c>
      <c r="H286" s="6">
        <v>0.1</v>
      </c>
      <c r="I286" s="4">
        <v>1404</v>
      </c>
      <c r="J286" s="4">
        <v>210.6</v>
      </c>
    </row>
    <row r="287" spans="1:10" x14ac:dyDescent="0.35">
      <c r="A287" t="s">
        <v>295</v>
      </c>
      <c r="B287" s="2">
        <v>45855</v>
      </c>
      <c r="C287" t="s">
        <v>515</v>
      </c>
      <c r="D287" t="s">
        <v>611</v>
      </c>
      <c r="E287" t="s">
        <v>620</v>
      </c>
      <c r="F287" t="s">
        <v>625</v>
      </c>
      <c r="G287" s="4">
        <v>2</v>
      </c>
      <c r="H287" s="6">
        <v>0</v>
      </c>
      <c r="I287" s="4">
        <v>1300</v>
      </c>
      <c r="J287" s="4">
        <v>208</v>
      </c>
    </row>
    <row r="288" spans="1:10" x14ac:dyDescent="0.35">
      <c r="A288" t="s">
        <v>296</v>
      </c>
      <c r="B288" s="2">
        <v>45856</v>
      </c>
      <c r="C288" t="s">
        <v>551</v>
      </c>
      <c r="D288" t="s">
        <v>613</v>
      </c>
      <c r="E288" t="s">
        <v>620</v>
      </c>
      <c r="F288" t="s">
        <v>624</v>
      </c>
      <c r="G288" s="4">
        <v>4</v>
      </c>
      <c r="H288" s="6">
        <v>0</v>
      </c>
      <c r="I288" s="4">
        <v>880</v>
      </c>
      <c r="J288" s="4">
        <v>123.2</v>
      </c>
    </row>
    <row r="289" spans="1:10" x14ac:dyDescent="0.35">
      <c r="A289" t="s">
        <v>297</v>
      </c>
      <c r="B289" s="2">
        <v>45856</v>
      </c>
      <c r="C289" t="s">
        <v>519</v>
      </c>
      <c r="D289" t="s">
        <v>613</v>
      </c>
      <c r="E289" t="s">
        <v>620</v>
      </c>
      <c r="F289" t="s">
        <v>626</v>
      </c>
      <c r="G289" s="4">
        <v>1</v>
      </c>
      <c r="H289" s="6">
        <v>0</v>
      </c>
      <c r="I289" s="4">
        <v>220</v>
      </c>
      <c r="J289" s="4">
        <v>30.8</v>
      </c>
    </row>
    <row r="290" spans="1:10" x14ac:dyDescent="0.35">
      <c r="A290" t="s">
        <v>298</v>
      </c>
      <c r="B290" s="2">
        <v>45858</v>
      </c>
      <c r="C290" t="s">
        <v>566</v>
      </c>
      <c r="D290" t="s">
        <v>610</v>
      </c>
      <c r="E290" t="s">
        <v>620</v>
      </c>
      <c r="F290" t="s">
        <v>625</v>
      </c>
      <c r="G290" s="4">
        <v>7</v>
      </c>
      <c r="H290" s="6">
        <v>0.1</v>
      </c>
      <c r="I290" s="4">
        <v>535.5</v>
      </c>
      <c r="J290" s="4">
        <v>101.74</v>
      </c>
    </row>
    <row r="291" spans="1:10" x14ac:dyDescent="0.35">
      <c r="A291" t="s">
        <v>299</v>
      </c>
      <c r="B291" s="2">
        <v>45860</v>
      </c>
      <c r="C291" t="s">
        <v>521</v>
      </c>
      <c r="D291" t="s">
        <v>612</v>
      </c>
      <c r="E291" t="s">
        <v>621</v>
      </c>
      <c r="F291" t="s">
        <v>626</v>
      </c>
      <c r="G291" s="4">
        <v>4</v>
      </c>
      <c r="H291" s="6">
        <v>0.05</v>
      </c>
      <c r="I291" s="4">
        <v>45.6</v>
      </c>
      <c r="J291" s="4">
        <v>12.77</v>
      </c>
    </row>
    <row r="292" spans="1:10" x14ac:dyDescent="0.35">
      <c r="A292" t="s">
        <v>300</v>
      </c>
      <c r="B292" s="2">
        <v>45863</v>
      </c>
      <c r="C292" t="s">
        <v>562</v>
      </c>
      <c r="D292" t="s">
        <v>611</v>
      </c>
      <c r="E292" t="s">
        <v>620</v>
      </c>
      <c r="F292" t="s">
        <v>626</v>
      </c>
      <c r="G292" s="4">
        <v>3</v>
      </c>
      <c r="H292" s="6">
        <v>0.15</v>
      </c>
      <c r="I292" s="4">
        <v>1657.5</v>
      </c>
      <c r="J292" s="4">
        <v>265.2</v>
      </c>
    </row>
    <row r="293" spans="1:10" x14ac:dyDescent="0.35">
      <c r="A293" t="s">
        <v>301</v>
      </c>
      <c r="B293" s="2">
        <v>45863</v>
      </c>
      <c r="C293" t="s">
        <v>521</v>
      </c>
      <c r="D293" t="s">
        <v>610</v>
      </c>
      <c r="E293" t="s">
        <v>620</v>
      </c>
      <c r="F293" t="s">
        <v>624</v>
      </c>
      <c r="G293" s="4">
        <v>6</v>
      </c>
      <c r="H293" s="6">
        <v>0.05</v>
      </c>
      <c r="I293" s="4">
        <v>484.5</v>
      </c>
      <c r="J293" s="4">
        <v>92.06</v>
      </c>
    </row>
    <row r="294" spans="1:10" x14ac:dyDescent="0.35">
      <c r="A294" t="s">
        <v>302</v>
      </c>
      <c r="B294" s="2">
        <v>45865</v>
      </c>
      <c r="C294" t="s">
        <v>584</v>
      </c>
      <c r="D294" t="s">
        <v>610</v>
      </c>
      <c r="E294" t="s">
        <v>620</v>
      </c>
      <c r="F294" t="s">
        <v>625</v>
      </c>
      <c r="G294" s="4">
        <v>7</v>
      </c>
      <c r="H294" s="6">
        <v>0</v>
      </c>
      <c r="I294" s="4">
        <v>595</v>
      </c>
      <c r="J294" s="4">
        <v>113.05</v>
      </c>
    </row>
    <row r="295" spans="1:10" x14ac:dyDescent="0.35">
      <c r="A295" t="s">
        <v>303</v>
      </c>
      <c r="B295" s="2">
        <v>45868</v>
      </c>
      <c r="C295" t="s">
        <v>606</v>
      </c>
      <c r="D295" t="s">
        <v>612</v>
      </c>
      <c r="E295" t="s">
        <v>621</v>
      </c>
      <c r="F295" t="s">
        <v>625</v>
      </c>
      <c r="G295" s="4">
        <v>3</v>
      </c>
      <c r="H295" s="6">
        <v>0</v>
      </c>
      <c r="I295" s="4">
        <v>36</v>
      </c>
      <c r="J295" s="4">
        <v>10.08</v>
      </c>
    </row>
    <row r="296" spans="1:10" x14ac:dyDescent="0.35">
      <c r="A296" t="s">
        <v>304</v>
      </c>
      <c r="B296" s="2">
        <v>45868</v>
      </c>
      <c r="C296" t="s">
        <v>554</v>
      </c>
      <c r="D296" t="s">
        <v>615</v>
      </c>
      <c r="E296" t="s">
        <v>622</v>
      </c>
      <c r="F296" t="s">
        <v>624</v>
      </c>
      <c r="G296" s="4">
        <v>3</v>
      </c>
      <c r="H296" s="6">
        <v>0</v>
      </c>
      <c r="I296" s="4">
        <v>540</v>
      </c>
      <c r="J296" s="4">
        <v>97.2</v>
      </c>
    </row>
    <row r="297" spans="1:10" x14ac:dyDescent="0.35">
      <c r="A297" t="s">
        <v>305</v>
      </c>
      <c r="B297" s="2">
        <v>45869</v>
      </c>
      <c r="C297" t="s">
        <v>530</v>
      </c>
      <c r="D297" t="s">
        <v>611</v>
      </c>
      <c r="E297" t="s">
        <v>620</v>
      </c>
      <c r="F297" t="s">
        <v>623</v>
      </c>
      <c r="G297" s="4">
        <v>1</v>
      </c>
      <c r="H297" s="6">
        <v>0</v>
      </c>
      <c r="I297" s="4">
        <v>650</v>
      </c>
      <c r="J297" s="4">
        <v>104</v>
      </c>
    </row>
    <row r="298" spans="1:10" x14ac:dyDescent="0.35">
      <c r="A298" t="s">
        <v>306</v>
      </c>
      <c r="B298" s="2">
        <v>45870</v>
      </c>
      <c r="C298" t="s">
        <v>585</v>
      </c>
      <c r="D298" t="s">
        <v>616</v>
      </c>
      <c r="E298" t="s">
        <v>622</v>
      </c>
      <c r="F298" t="s">
        <v>624</v>
      </c>
      <c r="G298" s="4">
        <v>8</v>
      </c>
      <c r="H298" s="6">
        <v>0.05</v>
      </c>
      <c r="I298" s="4">
        <v>1976</v>
      </c>
      <c r="J298" s="4">
        <v>296.39999999999998</v>
      </c>
    </row>
    <row r="299" spans="1:10" x14ac:dyDescent="0.35">
      <c r="A299" t="s">
        <v>307</v>
      </c>
      <c r="B299" s="2">
        <v>45871</v>
      </c>
      <c r="C299" t="s">
        <v>589</v>
      </c>
      <c r="D299" t="s">
        <v>614</v>
      </c>
      <c r="E299" t="s">
        <v>621</v>
      </c>
      <c r="F299" t="s">
        <v>626</v>
      </c>
      <c r="G299" s="4">
        <v>5</v>
      </c>
      <c r="H299" s="6">
        <v>0.05</v>
      </c>
      <c r="I299" s="4">
        <v>38</v>
      </c>
      <c r="J299" s="4">
        <v>11.4</v>
      </c>
    </row>
    <row r="300" spans="1:10" x14ac:dyDescent="0.35">
      <c r="A300" t="s">
        <v>308</v>
      </c>
      <c r="B300" s="2">
        <v>45871</v>
      </c>
      <c r="C300" t="s">
        <v>518</v>
      </c>
      <c r="D300" t="s">
        <v>615</v>
      </c>
      <c r="E300" t="s">
        <v>622</v>
      </c>
      <c r="F300" t="s">
        <v>624</v>
      </c>
      <c r="G300" s="4">
        <v>6</v>
      </c>
      <c r="H300" s="6">
        <v>0.05</v>
      </c>
      <c r="I300" s="4">
        <v>1026</v>
      </c>
      <c r="J300" s="4">
        <v>184.68</v>
      </c>
    </row>
    <row r="301" spans="1:10" x14ac:dyDescent="0.35">
      <c r="A301" t="s">
        <v>309</v>
      </c>
      <c r="B301" s="2">
        <v>45872</v>
      </c>
      <c r="C301" t="s">
        <v>527</v>
      </c>
      <c r="D301" t="s">
        <v>609</v>
      </c>
      <c r="E301" t="s">
        <v>619</v>
      </c>
      <c r="F301" t="s">
        <v>626</v>
      </c>
      <c r="G301" s="4">
        <v>3</v>
      </c>
      <c r="H301" s="6">
        <v>0</v>
      </c>
      <c r="I301" s="4">
        <v>165</v>
      </c>
      <c r="J301" s="4">
        <v>36.299999999999997</v>
      </c>
    </row>
    <row r="302" spans="1:10" x14ac:dyDescent="0.35">
      <c r="A302" t="s">
        <v>310</v>
      </c>
      <c r="B302" s="2">
        <v>45872</v>
      </c>
      <c r="C302" t="s">
        <v>573</v>
      </c>
      <c r="D302" t="s">
        <v>612</v>
      </c>
      <c r="E302" t="s">
        <v>621</v>
      </c>
      <c r="F302" t="s">
        <v>624</v>
      </c>
      <c r="G302" s="4">
        <v>2</v>
      </c>
      <c r="H302" s="6">
        <v>0.1</v>
      </c>
      <c r="I302" s="4">
        <v>21.6</v>
      </c>
      <c r="J302" s="4">
        <v>6.05</v>
      </c>
    </row>
    <row r="303" spans="1:10" x14ac:dyDescent="0.35">
      <c r="A303" t="s">
        <v>311</v>
      </c>
      <c r="B303" s="2">
        <v>45872</v>
      </c>
      <c r="C303" t="s">
        <v>573</v>
      </c>
      <c r="D303" t="s">
        <v>616</v>
      </c>
      <c r="E303" t="s">
        <v>622</v>
      </c>
      <c r="F303" t="s">
        <v>623</v>
      </c>
      <c r="G303" s="4">
        <v>3</v>
      </c>
      <c r="H303" s="6">
        <v>0</v>
      </c>
      <c r="I303" s="4">
        <v>780</v>
      </c>
      <c r="J303" s="4">
        <v>117</v>
      </c>
    </row>
    <row r="304" spans="1:10" x14ac:dyDescent="0.35">
      <c r="A304" t="s">
        <v>312</v>
      </c>
      <c r="B304" s="2">
        <v>45873</v>
      </c>
      <c r="C304" t="s">
        <v>607</v>
      </c>
      <c r="D304" t="s">
        <v>615</v>
      </c>
      <c r="E304" t="s">
        <v>622</v>
      </c>
      <c r="F304" t="s">
        <v>626</v>
      </c>
      <c r="G304" s="4">
        <v>5</v>
      </c>
      <c r="H304" s="6">
        <v>0</v>
      </c>
      <c r="I304" s="4">
        <v>900</v>
      </c>
      <c r="J304" s="4">
        <v>162</v>
      </c>
    </row>
    <row r="305" spans="1:10" x14ac:dyDescent="0.35">
      <c r="A305" t="s">
        <v>313</v>
      </c>
      <c r="B305" s="2">
        <v>45873</v>
      </c>
      <c r="C305" t="s">
        <v>591</v>
      </c>
      <c r="D305" t="s">
        <v>611</v>
      </c>
      <c r="E305" t="s">
        <v>620</v>
      </c>
      <c r="F305" t="s">
        <v>624</v>
      </c>
      <c r="G305" s="4">
        <v>6</v>
      </c>
      <c r="H305" s="6">
        <v>0.05</v>
      </c>
      <c r="I305" s="4">
        <v>3705</v>
      </c>
      <c r="J305" s="4">
        <v>592.79999999999995</v>
      </c>
    </row>
    <row r="306" spans="1:10" x14ac:dyDescent="0.35">
      <c r="A306" t="s">
        <v>314</v>
      </c>
      <c r="B306" s="2">
        <v>45874</v>
      </c>
      <c r="C306" t="s">
        <v>564</v>
      </c>
      <c r="D306" t="s">
        <v>611</v>
      </c>
      <c r="E306" t="s">
        <v>620</v>
      </c>
      <c r="F306" t="s">
        <v>623</v>
      </c>
      <c r="G306" s="4">
        <v>1</v>
      </c>
      <c r="H306" s="6">
        <v>0.05</v>
      </c>
      <c r="I306" s="4">
        <v>617.5</v>
      </c>
      <c r="J306" s="4">
        <v>98.8</v>
      </c>
    </row>
    <row r="307" spans="1:10" x14ac:dyDescent="0.35">
      <c r="A307" t="s">
        <v>315</v>
      </c>
      <c r="B307" s="2">
        <v>45876</v>
      </c>
      <c r="C307" t="s">
        <v>521</v>
      </c>
      <c r="D307" t="s">
        <v>613</v>
      </c>
      <c r="E307" t="s">
        <v>620</v>
      </c>
      <c r="F307" t="s">
        <v>626</v>
      </c>
      <c r="G307" s="4">
        <v>4</v>
      </c>
      <c r="H307" s="6">
        <v>0.05</v>
      </c>
      <c r="I307" s="4">
        <v>836</v>
      </c>
      <c r="J307" s="4">
        <v>117.04</v>
      </c>
    </row>
    <row r="308" spans="1:10" x14ac:dyDescent="0.35">
      <c r="A308" t="s">
        <v>316</v>
      </c>
      <c r="B308" s="2">
        <v>45877</v>
      </c>
      <c r="C308" t="s">
        <v>592</v>
      </c>
      <c r="D308" t="s">
        <v>617</v>
      </c>
      <c r="E308" t="s">
        <v>620</v>
      </c>
      <c r="F308" t="s">
        <v>625</v>
      </c>
      <c r="G308" s="4">
        <v>7</v>
      </c>
      <c r="H308" s="6">
        <v>0</v>
      </c>
      <c r="I308" s="4">
        <v>315</v>
      </c>
      <c r="J308" s="4">
        <v>63</v>
      </c>
    </row>
    <row r="309" spans="1:10" x14ac:dyDescent="0.35">
      <c r="A309" t="s">
        <v>317</v>
      </c>
      <c r="B309" s="2">
        <v>45878</v>
      </c>
      <c r="C309" t="s">
        <v>559</v>
      </c>
      <c r="D309" t="s">
        <v>612</v>
      </c>
      <c r="E309" t="s">
        <v>621</v>
      </c>
      <c r="F309" t="s">
        <v>625</v>
      </c>
      <c r="G309" s="4">
        <v>4</v>
      </c>
      <c r="H309" s="6">
        <v>0</v>
      </c>
      <c r="I309" s="4">
        <v>48</v>
      </c>
      <c r="J309" s="4">
        <v>13.44</v>
      </c>
    </row>
    <row r="310" spans="1:10" x14ac:dyDescent="0.35">
      <c r="A310" t="s">
        <v>318</v>
      </c>
      <c r="B310" s="2">
        <v>45878</v>
      </c>
      <c r="C310" t="s">
        <v>596</v>
      </c>
      <c r="D310" t="s">
        <v>615</v>
      </c>
      <c r="E310" t="s">
        <v>622</v>
      </c>
      <c r="F310" t="s">
        <v>624</v>
      </c>
      <c r="G310" s="4">
        <v>5</v>
      </c>
      <c r="H310" s="6">
        <v>0.05</v>
      </c>
      <c r="I310" s="4">
        <v>855</v>
      </c>
      <c r="J310" s="4">
        <v>153.9</v>
      </c>
    </row>
    <row r="311" spans="1:10" x14ac:dyDescent="0.35">
      <c r="A311" t="s">
        <v>319</v>
      </c>
      <c r="B311" s="2">
        <v>45879</v>
      </c>
      <c r="C311" t="s">
        <v>540</v>
      </c>
      <c r="D311" t="s">
        <v>614</v>
      </c>
      <c r="E311" t="s">
        <v>621</v>
      </c>
      <c r="F311" t="s">
        <v>623</v>
      </c>
      <c r="G311" s="4">
        <v>8</v>
      </c>
      <c r="H311" s="6">
        <v>0.1</v>
      </c>
      <c r="I311" s="4">
        <v>57.6</v>
      </c>
      <c r="J311" s="4">
        <v>17.28</v>
      </c>
    </row>
    <row r="312" spans="1:10" x14ac:dyDescent="0.35">
      <c r="A312" t="s">
        <v>320</v>
      </c>
      <c r="B312" s="2">
        <v>45879</v>
      </c>
      <c r="C312" t="s">
        <v>569</v>
      </c>
      <c r="D312" t="s">
        <v>611</v>
      </c>
      <c r="E312" t="s">
        <v>620</v>
      </c>
      <c r="F312" t="s">
        <v>625</v>
      </c>
      <c r="G312" s="4">
        <v>2</v>
      </c>
      <c r="H312" s="6">
        <v>0</v>
      </c>
      <c r="I312" s="4">
        <v>1300</v>
      </c>
      <c r="J312" s="4">
        <v>208</v>
      </c>
    </row>
    <row r="313" spans="1:10" x14ac:dyDescent="0.35">
      <c r="A313" t="s">
        <v>321</v>
      </c>
      <c r="B313" s="2">
        <v>45880</v>
      </c>
      <c r="C313" t="s">
        <v>564</v>
      </c>
      <c r="D313" t="s">
        <v>610</v>
      </c>
      <c r="E313" t="s">
        <v>620</v>
      </c>
      <c r="F313" t="s">
        <v>626</v>
      </c>
      <c r="G313" s="4">
        <v>7</v>
      </c>
      <c r="H313" s="6">
        <v>0</v>
      </c>
      <c r="I313" s="4">
        <v>595</v>
      </c>
      <c r="J313" s="4">
        <v>113.05</v>
      </c>
    </row>
    <row r="314" spans="1:10" x14ac:dyDescent="0.35">
      <c r="A314" t="s">
        <v>322</v>
      </c>
      <c r="B314" s="2">
        <v>45881</v>
      </c>
      <c r="C314" t="s">
        <v>522</v>
      </c>
      <c r="D314" t="s">
        <v>612</v>
      </c>
      <c r="E314" t="s">
        <v>621</v>
      </c>
      <c r="F314" t="s">
        <v>623</v>
      </c>
      <c r="G314" s="4">
        <v>2</v>
      </c>
      <c r="H314" s="6">
        <v>0</v>
      </c>
      <c r="I314" s="4">
        <v>24</v>
      </c>
      <c r="J314" s="4">
        <v>6.72</v>
      </c>
    </row>
    <row r="315" spans="1:10" x14ac:dyDescent="0.35">
      <c r="A315" t="s">
        <v>323</v>
      </c>
      <c r="B315" s="2">
        <v>45881</v>
      </c>
      <c r="C315" t="s">
        <v>581</v>
      </c>
      <c r="D315" t="s">
        <v>614</v>
      </c>
      <c r="E315" t="s">
        <v>621</v>
      </c>
      <c r="F315" t="s">
        <v>623</v>
      </c>
      <c r="G315" s="4">
        <v>7</v>
      </c>
      <c r="H315" s="6">
        <v>0</v>
      </c>
      <c r="I315" s="4">
        <v>56</v>
      </c>
      <c r="J315" s="4">
        <v>16.8</v>
      </c>
    </row>
    <row r="316" spans="1:10" x14ac:dyDescent="0.35">
      <c r="A316" t="s">
        <v>324</v>
      </c>
      <c r="B316" s="2">
        <v>45882</v>
      </c>
      <c r="C316" t="s">
        <v>558</v>
      </c>
      <c r="D316" t="s">
        <v>609</v>
      </c>
      <c r="E316" t="s">
        <v>619</v>
      </c>
      <c r="F316" t="s">
        <v>624</v>
      </c>
      <c r="G316" s="4">
        <v>5</v>
      </c>
      <c r="H316" s="6">
        <v>0.05</v>
      </c>
      <c r="I316" s="4">
        <v>261.25</v>
      </c>
      <c r="J316" s="4">
        <v>57.48</v>
      </c>
    </row>
    <row r="317" spans="1:10" x14ac:dyDescent="0.35">
      <c r="A317" t="s">
        <v>325</v>
      </c>
      <c r="B317" s="2">
        <v>45883</v>
      </c>
      <c r="C317" t="s">
        <v>519</v>
      </c>
      <c r="D317" t="s">
        <v>612</v>
      </c>
      <c r="E317" t="s">
        <v>621</v>
      </c>
      <c r="F317" t="s">
        <v>623</v>
      </c>
      <c r="G317" s="4">
        <v>2</v>
      </c>
      <c r="H317" s="6">
        <v>0</v>
      </c>
      <c r="I317" s="4">
        <v>24</v>
      </c>
      <c r="J317" s="4">
        <v>6.72</v>
      </c>
    </row>
    <row r="318" spans="1:10" x14ac:dyDescent="0.35">
      <c r="A318" t="s">
        <v>326</v>
      </c>
      <c r="B318" s="2">
        <v>45883</v>
      </c>
      <c r="C318" t="s">
        <v>593</v>
      </c>
      <c r="D318" t="s">
        <v>610</v>
      </c>
      <c r="E318" t="s">
        <v>620</v>
      </c>
      <c r="F318" t="s">
        <v>626</v>
      </c>
      <c r="G318" s="4">
        <v>3</v>
      </c>
      <c r="H318" s="6">
        <v>0.1</v>
      </c>
      <c r="I318" s="4">
        <v>229.5</v>
      </c>
      <c r="J318" s="4">
        <v>43.6</v>
      </c>
    </row>
    <row r="319" spans="1:10" x14ac:dyDescent="0.35">
      <c r="A319" t="s">
        <v>327</v>
      </c>
      <c r="B319" s="2">
        <v>45883</v>
      </c>
      <c r="C319" t="s">
        <v>570</v>
      </c>
      <c r="D319" t="s">
        <v>614</v>
      </c>
      <c r="E319" t="s">
        <v>621</v>
      </c>
      <c r="F319" t="s">
        <v>623</v>
      </c>
      <c r="G319" s="4">
        <v>4</v>
      </c>
      <c r="H319" s="6">
        <v>0</v>
      </c>
      <c r="I319" s="4">
        <v>32</v>
      </c>
      <c r="J319" s="4">
        <v>9.6</v>
      </c>
    </row>
    <row r="320" spans="1:10" x14ac:dyDescent="0.35">
      <c r="A320" t="s">
        <v>328</v>
      </c>
      <c r="B320" s="2">
        <v>45884</v>
      </c>
      <c r="C320" t="s">
        <v>551</v>
      </c>
      <c r="D320" t="s">
        <v>613</v>
      </c>
      <c r="E320" t="s">
        <v>620</v>
      </c>
      <c r="F320" t="s">
        <v>623</v>
      </c>
      <c r="G320" s="4">
        <v>8</v>
      </c>
      <c r="H320" s="6">
        <v>0</v>
      </c>
      <c r="I320" s="4">
        <v>1760</v>
      </c>
      <c r="J320" s="4">
        <v>246.4</v>
      </c>
    </row>
    <row r="321" spans="1:10" x14ac:dyDescent="0.35">
      <c r="A321" t="s">
        <v>329</v>
      </c>
      <c r="B321" s="2">
        <v>45884</v>
      </c>
      <c r="C321" t="s">
        <v>546</v>
      </c>
      <c r="D321" t="s">
        <v>611</v>
      </c>
      <c r="E321" t="s">
        <v>620</v>
      </c>
      <c r="F321" t="s">
        <v>625</v>
      </c>
      <c r="G321" s="4">
        <v>2</v>
      </c>
      <c r="H321" s="6">
        <v>0.05</v>
      </c>
      <c r="I321" s="4">
        <v>1235</v>
      </c>
      <c r="J321" s="4">
        <v>197.6</v>
      </c>
    </row>
    <row r="322" spans="1:10" x14ac:dyDescent="0.35">
      <c r="A322" t="s">
        <v>330</v>
      </c>
      <c r="B322" s="2">
        <v>45884</v>
      </c>
      <c r="C322" t="s">
        <v>595</v>
      </c>
      <c r="D322" t="s">
        <v>615</v>
      </c>
      <c r="E322" t="s">
        <v>622</v>
      </c>
      <c r="F322" t="s">
        <v>626</v>
      </c>
      <c r="G322" s="4">
        <v>3</v>
      </c>
      <c r="H322" s="6">
        <v>0</v>
      </c>
      <c r="I322" s="4">
        <v>540</v>
      </c>
      <c r="J322" s="4">
        <v>97.2</v>
      </c>
    </row>
    <row r="323" spans="1:10" x14ac:dyDescent="0.35">
      <c r="A323" t="s">
        <v>331</v>
      </c>
      <c r="B323" s="2">
        <v>45885</v>
      </c>
      <c r="C323" t="s">
        <v>602</v>
      </c>
      <c r="D323" t="s">
        <v>610</v>
      </c>
      <c r="E323" t="s">
        <v>620</v>
      </c>
      <c r="F323" t="s">
        <v>626</v>
      </c>
      <c r="G323" s="4">
        <v>5</v>
      </c>
      <c r="H323" s="6">
        <v>0.05</v>
      </c>
      <c r="I323" s="4">
        <v>403.75</v>
      </c>
      <c r="J323" s="4">
        <v>76.709999999999994</v>
      </c>
    </row>
    <row r="324" spans="1:10" x14ac:dyDescent="0.35">
      <c r="A324" t="s">
        <v>332</v>
      </c>
      <c r="B324" s="2">
        <v>45885</v>
      </c>
      <c r="C324" t="s">
        <v>557</v>
      </c>
      <c r="D324" t="s">
        <v>616</v>
      </c>
      <c r="E324" t="s">
        <v>622</v>
      </c>
      <c r="F324" t="s">
        <v>626</v>
      </c>
      <c r="G324" s="4">
        <v>1</v>
      </c>
      <c r="H324" s="6">
        <v>0.05</v>
      </c>
      <c r="I324" s="4">
        <v>247</v>
      </c>
      <c r="J324" s="4">
        <v>37.049999999999997</v>
      </c>
    </row>
    <row r="325" spans="1:10" x14ac:dyDescent="0.35">
      <c r="A325" t="s">
        <v>333</v>
      </c>
      <c r="B325" s="2">
        <v>45885</v>
      </c>
      <c r="C325" t="s">
        <v>567</v>
      </c>
      <c r="D325" t="s">
        <v>613</v>
      </c>
      <c r="E325" t="s">
        <v>620</v>
      </c>
      <c r="F325" t="s">
        <v>624</v>
      </c>
      <c r="G325" s="4">
        <v>7</v>
      </c>
      <c r="H325" s="6">
        <v>0.05</v>
      </c>
      <c r="I325" s="4">
        <v>1463</v>
      </c>
      <c r="J325" s="4">
        <v>204.82</v>
      </c>
    </row>
    <row r="326" spans="1:10" x14ac:dyDescent="0.35">
      <c r="A326" t="s">
        <v>334</v>
      </c>
      <c r="B326" s="2">
        <v>45887</v>
      </c>
      <c r="C326" t="s">
        <v>544</v>
      </c>
      <c r="D326" t="s">
        <v>616</v>
      </c>
      <c r="E326" t="s">
        <v>622</v>
      </c>
      <c r="F326" t="s">
        <v>624</v>
      </c>
      <c r="G326" s="4">
        <v>6</v>
      </c>
      <c r="H326" s="6">
        <v>0.05</v>
      </c>
      <c r="I326" s="4">
        <v>1482</v>
      </c>
      <c r="J326" s="4">
        <v>222.3</v>
      </c>
    </row>
    <row r="327" spans="1:10" x14ac:dyDescent="0.35">
      <c r="A327" t="s">
        <v>335</v>
      </c>
      <c r="B327" s="2">
        <v>45888</v>
      </c>
      <c r="C327" t="s">
        <v>580</v>
      </c>
      <c r="D327" t="s">
        <v>616</v>
      </c>
      <c r="E327" t="s">
        <v>622</v>
      </c>
      <c r="F327" t="s">
        <v>626</v>
      </c>
      <c r="G327" s="4">
        <v>4</v>
      </c>
      <c r="H327" s="6">
        <v>0.05</v>
      </c>
      <c r="I327" s="4">
        <v>988</v>
      </c>
      <c r="J327" s="4">
        <v>148.19999999999999</v>
      </c>
    </row>
    <row r="328" spans="1:10" x14ac:dyDescent="0.35">
      <c r="A328" t="s">
        <v>336</v>
      </c>
      <c r="B328" s="2">
        <v>45888</v>
      </c>
      <c r="C328" t="s">
        <v>597</v>
      </c>
      <c r="D328" t="s">
        <v>615</v>
      </c>
      <c r="E328" t="s">
        <v>622</v>
      </c>
      <c r="F328" t="s">
        <v>625</v>
      </c>
      <c r="G328" s="4">
        <v>4</v>
      </c>
      <c r="H328" s="6">
        <v>0.05</v>
      </c>
      <c r="I328" s="4">
        <v>684</v>
      </c>
      <c r="J328" s="4">
        <v>123.12</v>
      </c>
    </row>
    <row r="329" spans="1:10" x14ac:dyDescent="0.35">
      <c r="A329" t="s">
        <v>337</v>
      </c>
      <c r="B329" s="2">
        <v>45890</v>
      </c>
      <c r="C329" t="s">
        <v>542</v>
      </c>
      <c r="D329" t="s">
        <v>612</v>
      </c>
      <c r="E329" t="s">
        <v>621</v>
      </c>
      <c r="F329" t="s">
        <v>624</v>
      </c>
      <c r="G329" s="4">
        <v>1</v>
      </c>
      <c r="H329" s="6">
        <v>0.05</v>
      </c>
      <c r="I329" s="4">
        <v>11.4</v>
      </c>
      <c r="J329" s="4">
        <v>3.19</v>
      </c>
    </row>
    <row r="330" spans="1:10" x14ac:dyDescent="0.35">
      <c r="A330" t="s">
        <v>338</v>
      </c>
      <c r="B330" s="2">
        <v>45890</v>
      </c>
      <c r="C330" t="s">
        <v>540</v>
      </c>
      <c r="D330" t="s">
        <v>612</v>
      </c>
      <c r="E330" t="s">
        <v>621</v>
      </c>
      <c r="F330" t="s">
        <v>626</v>
      </c>
      <c r="G330" s="4">
        <v>2</v>
      </c>
      <c r="H330" s="6">
        <v>0</v>
      </c>
      <c r="I330" s="4">
        <v>24</v>
      </c>
      <c r="J330" s="4">
        <v>6.72</v>
      </c>
    </row>
    <row r="331" spans="1:10" x14ac:dyDescent="0.35">
      <c r="A331" t="s">
        <v>339</v>
      </c>
      <c r="B331" s="2">
        <v>45892</v>
      </c>
      <c r="C331" t="s">
        <v>566</v>
      </c>
      <c r="D331" t="s">
        <v>614</v>
      </c>
      <c r="E331" t="s">
        <v>621</v>
      </c>
      <c r="F331" t="s">
        <v>623</v>
      </c>
      <c r="G331" s="4">
        <v>6</v>
      </c>
      <c r="H331" s="6">
        <v>0</v>
      </c>
      <c r="I331" s="4">
        <v>48</v>
      </c>
      <c r="J331" s="4">
        <v>14.4</v>
      </c>
    </row>
    <row r="332" spans="1:10" x14ac:dyDescent="0.35">
      <c r="A332" t="s">
        <v>340</v>
      </c>
      <c r="B332" s="2">
        <v>45892</v>
      </c>
      <c r="C332" t="s">
        <v>598</v>
      </c>
      <c r="D332" t="s">
        <v>612</v>
      </c>
      <c r="E332" t="s">
        <v>621</v>
      </c>
      <c r="F332" t="s">
        <v>623</v>
      </c>
      <c r="G332" s="4">
        <v>5</v>
      </c>
      <c r="H332" s="6">
        <v>0</v>
      </c>
      <c r="I332" s="4">
        <v>60</v>
      </c>
      <c r="J332" s="4">
        <v>16.8</v>
      </c>
    </row>
    <row r="333" spans="1:10" x14ac:dyDescent="0.35">
      <c r="A333" t="s">
        <v>341</v>
      </c>
      <c r="B333" s="2">
        <v>45893</v>
      </c>
      <c r="C333" t="s">
        <v>593</v>
      </c>
      <c r="D333" t="s">
        <v>609</v>
      </c>
      <c r="E333" t="s">
        <v>619</v>
      </c>
      <c r="F333" t="s">
        <v>624</v>
      </c>
      <c r="G333" s="4">
        <v>8</v>
      </c>
      <c r="H333" s="6">
        <v>0</v>
      </c>
      <c r="I333" s="4">
        <v>440</v>
      </c>
      <c r="J333" s="4">
        <v>96.8</v>
      </c>
    </row>
    <row r="334" spans="1:10" x14ac:dyDescent="0.35">
      <c r="A334" t="s">
        <v>342</v>
      </c>
      <c r="B334" s="2">
        <v>45893</v>
      </c>
      <c r="C334" t="s">
        <v>530</v>
      </c>
      <c r="D334" t="s">
        <v>617</v>
      </c>
      <c r="E334" t="s">
        <v>620</v>
      </c>
      <c r="F334" t="s">
        <v>626</v>
      </c>
      <c r="G334" s="4">
        <v>1</v>
      </c>
      <c r="H334" s="6">
        <v>0.05</v>
      </c>
      <c r="I334" s="4">
        <v>42.75</v>
      </c>
      <c r="J334" s="4">
        <v>8.5500000000000007</v>
      </c>
    </row>
    <row r="335" spans="1:10" x14ac:dyDescent="0.35">
      <c r="A335" t="s">
        <v>343</v>
      </c>
      <c r="B335" s="2">
        <v>45894</v>
      </c>
      <c r="C335" t="s">
        <v>518</v>
      </c>
      <c r="D335" t="s">
        <v>612</v>
      </c>
      <c r="E335" t="s">
        <v>621</v>
      </c>
      <c r="F335" t="s">
        <v>625</v>
      </c>
      <c r="G335" s="4">
        <v>2</v>
      </c>
      <c r="H335" s="6">
        <v>0</v>
      </c>
      <c r="I335" s="4">
        <v>24</v>
      </c>
      <c r="J335" s="4">
        <v>6.72</v>
      </c>
    </row>
    <row r="336" spans="1:10" x14ac:dyDescent="0.35">
      <c r="A336" t="s">
        <v>344</v>
      </c>
      <c r="B336" s="2">
        <v>45898</v>
      </c>
      <c r="C336" t="s">
        <v>545</v>
      </c>
      <c r="D336" t="s">
        <v>617</v>
      </c>
      <c r="E336" t="s">
        <v>620</v>
      </c>
      <c r="F336" t="s">
        <v>623</v>
      </c>
      <c r="G336" s="4">
        <v>4</v>
      </c>
      <c r="H336" s="6">
        <v>0.05</v>
      </c>
      <c r="I336" s="4">
        <v>171</v>
      </c>
      <c r="J336" s="4">
        <v>34.200000000000003</v>
      </c>
    </row>
    <row r="337" spans="1:10" x14ac:dyDescent="0.35">
      <c r="A337" t="s">
        <v>345</v>
      </c>
      <c r="B337" s="2">
        <v>45898</v>
      </c>
      <c r="C337" t="s">
        <v>559</v>
      </c>
      <c r="D337" t="s">
        <v>610</v>
      </c>
      <c r="E337" t="s">
        <v>620</v>
      </c>
      <c r="F337" t="s">
        <v>625</v>
      </c>
      <c r="G337" s="4">
        <v>2</v>
      </c>
      <c r="H337" s="6">
        <v>0.1</v>
      </c>
      <c r="I337" s="4">
        <v>153</v>
      </c>
      <c r="J337" s="4">
        <v>29.07</v>
      </c>
    </row>
    <row r="338" spans="1:10" x14ac:dyDescent="0.35">
      <c r="A338" t="s">
        <v>346</v>
      </c>
      <c r="B338" s="2">
        <v>45899</v>
      </c>
      <c r="C338" t="s">
        <v>560</v>
      </c>
      <c r="D338" t="s">
        <v>613</v>
      </c>
      <c r="E338" t="s">
        <v>620</v>
      </c>
      <c r="F338" t="s">
        <v>624</v>
      </c>
      <c r="G338" s="4">
        <v>5</v>
      </c>
      <c r="H338" s="6">
        <v>0</v>
      </c>
      <c r="I338" s="4">
        <v>1100</v>
      </c>
      <c r="J338" s="4">
        <v>154</v>
      </c>
    </row>
    <row r="339" spans="1:10" x14ac:dyDescent="0.35">
      <c r="A339" t="s">
        <v>347</v>
      </c>
      <c r="B339" s="2">
        <v>45899</v>
      </c>
      <c r="C339" t="s">
        <v>553</v>
      </c>
      <c r="D339" t="s">
        <v>611</v>
      </c>
      <c r="E339" t="s">
        <v>620</v>
      </c>
      <c r="F339" t="s">
        <v>625</v>
      </c>
      <c r="G339" s="4">
        <v>2</v>
      </c>
      <c r="H339" s="6">
        <v>0.05</v>
      </c>
      <c r="I339" s="4">
        <v>1235</v>
      </c>
      <c r="J339" s="4">
        <v>197.6</v>
      </c>
    </row>
    <row r="340" spans="1:10" x14ac:dyDescent="0.35">
      <c r="A340" t="s">
        <v>348</v>
      </c>
      <c r="B340" s="2">
        <v>45899</v>
      </c>
      <c r="C340" t="s">
        <v>588</v>
      </c>
      <c r="D340" t="s">
        <v>617</v>
      </c>
      <c r="E340" t="s">
        <v>620</v>
      </c>
      <c r="F340" t="s">
        <v>623</v>
      </c>
      <c r="G340" s="4">
        <v>4</v>
      </c>
      <c r="H340" s="6">
        <v>0</v>
      </c>
      <c r="I340" s="4">
        <v>180</v>
      </c>
      <c r="J340" s="4">
        <v>36</v>
      </c>
    </row>
    <row r="341" spans="1:10" x14ac:dyDescent="0.35">
      <c r="A341" t="s">
        <v>349</v>
      </c>
      <c r="B341" s="2">
        <v>45900</v>
      </c>
      <c r="C341" t="s">
        <v>554</v>
      </c>
      <c r="D341" t="s">
        <v>612</v>
      </c>
      <c r="E341" t="s">
        <v>621</v>
      </c>
      <c r="F341" t="s">
        <v>625</v>
      </c>
      <c r="G341" s="4">
        <v>3</v>
      </c>
      <c r="H341" s="6">
        <v>0.1</v>
      </c>
      <c r="I341" s="4">
        <v>32.4</v>
      </c>
      <c r="J341" s="4">
        <v>9.07</v>
      </c>
    </row>
    <row r="342" spans="1:10" x14ac:dyDescent="0.35">
      <c r="A342" t="s">
        <v>350</v>
      </c>
      <c r="B342" s="2">
        <v>45901</v>
      </c>
      <c r="C342" t="s">
        <v>550</v>
      </c>
      <c r="D342" t="s">
        <v>617</v>
      </c>
      <c r="E342" t="s">
        <v>620</v>
      </c>
      <c r="F342" t="s">
        <v>624</v>
      </c>
      <c r="G342" s="4">
        <v>3</v>
      </c>
      <c r="H342" s="6">
        <v>0</v>
      </c>
      <c r="I342" s="4">
        <v>135</v>
      </c>
      <c r="J342" s="4">
        <v>27</v>
      </c>
    </row>
    <row r="343" spans="1:10" x14ac:dyDescent="0.35">
      <c r="A343" t="s">
        <v>351</v>
      </c>
      <c r="B343" s="2">
        <v>45906</v>
      </c>
      <c r="C343" t="s">
        <v>567</v>
      </c>
      <c r="D343" t="s">
        <v>610</v>
      </c>
      <c r="E343" t="s">
        <v>620</v>
      </c>
      <c r="F343" t="s">
        <v>624</v>
      </c>
      <c r="G343" s="4">
        <v>2</v>
      </c>
      <c r="H343" s="6">
        <v>0</v>
      </c>
      <c r="I343" s="4">
        <v>170</v>
      </c>
      <c r="J343" s="4">
        <v>32.299999999999997</v>
      </c>
    </row>
    <row r="344" spans="1:10" x14ac:dyDescent="0.35">
      <c r="A344" t="s">
        <v>352</v>
      </c>
      <c r="B344" s="2">
        <v>45906</v>
      </c>
      <c r="C344" t="s">
        <v>579</v>
      </c>
      <c r="D344" t="s">
        <v>617</v>
      </c>
      <c r="E344" t="s">
        <v>620</v>
      </c>
      <c r="F344" t="s">
        <v>624</v>
      </c>
      <c r="G344" s="4">
        <v>7</v>
      </c>
      <c r="H344" s="6">
        <v>0.05</v>
      </c>
      <c r="I344" s="4">
        <v>299.25</v>
      </c>
      <c r="J344" s="4">
        <v>59.85</v>
      </c>
    </row>
    <row r="345" spans="1:10" x14ac:dyDescent="0.35">
      <c r="A345" t="s">
        <v>353</v>
      </c>
      <c r="B345" s="2">
        <v>45907</v>
      </c>
      <c r="C345" t="s">
        <v>575</v>
      </c>
      <c r="D345" t="s">
        <v>616</v>
      </c>
      <c r="E345" t="s">
        <v>622</v>
      </c>
      <c r="F345" t="s">
        <v>625</v>
      </c>
      <c r="G345" s="4">
        <v>7</v>
      </c>
      <c r="H345" s="6">
        <v>0.1</v>
      </c>
      <c r="I345" s="4">
        <v>1638</v>
      </c>
      <c r="J345" s="4">
        <v>245.7</v>
      </c>
    </row>
    <row r="346" spans="1:10" x14ac:dyDescent="0.35">
      <c r="A346" t="s">
        <v>354</v>
      </c>
      <c r="B346" s="2">
        <v>45907</v>
      </c>
      <c r="C346" t="s">
        <v>568</v>
      </c>
      <c r="D346" t="s">
        <v>612</v>
      </c>
      <c r="E346" t="s">
        <v>621</v>
      </c>
      <c r="F346" t="s">
        <v>625</v>
      </c>
      <c r="G346" s="4">
        <v>2</v>
      </c>
      <c r="H346" s="6">
        <v>0.05</v>
      </c>
      <c r="I346" s="4">
        <v>22.8</v>
      </c>
      <c r="J346" s="4">
        <v>6.38</v>
      </c>
    </row>
    <row r="347" spans="1:10" x14ac:dyDescent="0.35">
      <c r="A347" t="s">
        <v>355</v>
      </c>
      <c r="B347" s="2">
        <v>45907</v>
      </c>
      <c r="C347" t="s">
        <v>598</v>
      </c>
      <c r="D347" t="s">
        <v>615</v>
      </c>
      <c r="E347" t="s">
        <v>622</v>
      </c>
      <c r="F347" t="s">
        <v>624</v>
      </c>
      <c r="G347" s="4">
        <v>7</v>
      </c>
      <c r="H347" s="6">
        <v>0</v>
      </c>
      <c r="I347" s="4">
        <v>1260</v>
      </c>
      <c r="J347" s="4">
        <v>226.8</v>
      </c>
    </row>
    <row r="348" spans="1:10" x14ac:dyDescent="0.35">
      <c r="A348" t="s">
        <v>356</v>
      </c>
      <c r="B348" s="2">
        <v>45907</v>
      </c>
      <c r="C348" t="s">
        <v>540</v>
      </c>
      <c r="D348" t="s">
        <v>610</v>
      </c>
      <c r="E348" t="s">
        <v>620</v>
      </c>
      <c r="F348" t="s">
        <v>623</v>
      </c>
      <c r="G348" s="4">
        <v>4</v>
      </c>
      <c r="H348" s="6">
        <v>0</v>
      </c>
      <c r="I348" s="4">
        <v>340</v>
      </c>
      <c r="J348" s="4">
        <v>64.599999999999994</v>
      </c>
    </row>
    <row r="349" spans="1:10" x14ac:dyDescent="0.35">
      <c r="A349" t="s">
        <v>357</v>
      </c>
      <c r="B349" s="2">
        <v>45908</v>
      </c>
      <c r="C349" t="s">
        <v>535</v>
      </c>
      <c r="D349" t="s">
        <v>618</v>
      </c>
      <c r="E349" t="s">
        <v>620</v>
      </c>
      <c r="F349" t="s">
        <v>624</v>
      </c>
      <c r="G349" s="4">
        <v>2</v>
      </c>
      <c r="H349" s="6">
        <v>0</v>
      </c>
      <c r="I349" s="4">
        <v>50</v>
      </c>
      <c r="J349" s="4">
        <v>11.5</v>
      </c>
    </row>
    <row r="350" spans="1:10" x14ac:dyDescent="0.35">
      <c r="A350" t="s">
        <v>358</v>
      </c>
      <c r="B350" s="2">
        <v>45908</v>
      </c>
      <c r="C350" t="s">
        <v>520</v>
      </c>
      <c r="D350" t="s">
        <v>614</v>
      </c>
      <c r="E350" t="s">
        <v>621</v>
      </c>
      <c r="F350" t="s">
        <v>623</v>
      </c>
      <c r="G350" s="4">
        <v>8</v>
      </c>
      <c r="H350" s="6">
        <v>0</v>
      </c>
      <c r="I350" s="4">
        <v>64</v>
      </c>
      <c r="J350" s="4">
        <v>19.2</v>
      </c>
    </row>
    <row r="351" spans="1:10" x14ac:dyDescent="0.35">
      <c r="A351" t="s">
        <v>359</v>
      </c>
      <c r="B351" s="2">
        <v>45908</v>
      </c>
      <c r="C351" t="s">
        <v>588</v>
      </c>
      <c r="D351" t="s">
        <v>615</v>
      </c>
      <c r="E351" t="s">
        <v>622</v>
      </c>
      <c r="F351" t="s">
        <v>626</v>
      </c>
      <c r="G351" s="4">
        <v>1</v>
      </c>
      <c r="H351" s="6">
        <v>0.15</v>
      </c>
      <c r="I351" s="4">
        <v>153</v>
      </c>
      <c r="J351" s="4">
        <v>27.54</v>
      </c>
    </row>
    <row r="352" spans="1:10" x14ac:dyDescent="0.35">
      <c r="A352" t="s">
        <v>360</v>
      </c>
      <c r="B352" s="2">
        <v>45908</v>
      </c>
      <c r="C352" t="s">
        <v>562</v>
      </c>
      <c r="D352" t="s">
        <v>614</v>
      </c>
      <c r="E352" t="s">
        <v>621</v>
      </c>
      <c r="F352" t="s">
        <v>623</v>
      </c>
      <c r="G352" s="4">
        <v>4</v>
      </c>
      <c r="H352" s="6">
        <v>0</v>
      </c>
      <c r="I352" s="4">
        <v>32</v>
      </c>
      <c r="J352" s="4">
        <v>9.6</v>
      </c>
    </row>
    <row r="353" spans="1:10" x14ac:dyDescent="0.35">
      <c r="A353" t="s">
        <v>361</v>
      </c>
      <c r="B353" s="2">
        <v>45909</v>
      </c>
      <c r="C353" t="s">
        <v>585</v>
      </c>
      <c r="D353" t="s">
        <v>617</v>
      </c>
      <c r="E353" t="s">
        <v>620</v>
      </c>
      <c r="F353" t="s">
        <v>624</v>
      </c>
      <c r="G353" s="4">
        <v>4</v>
      </c>
      <c r="H353" s="6">
        <v>0</v>
      </c>
      <c r="I353" s="4">
        <v>180</v>
      </c>
      <c r="J353" s="4">
        <v>36</v>
      </c>
    </row>
    <row r="354" spans="1:10" x14ac:dyDescent="0.35">
      <c r="A354" t="s">
        <v>362</v>
      </c>
      <c r="B354" s="2">
        <v>45910</v>
      </c>
      <c r="C354" t="s">
        <v>516</v>
      </c>
      <c r="D354" t="s">
        <v>610</v>
      </c>
      <c r="E354" t="s">
        <v>620</v>
      </c>
      <c r="F354" t="s">
        <v>625</v>
      </c>
      <c r="G354" s="4">
        <v>2</v>
      </c>
      <c r="H354" s="6">
        <v>0</v>
      </c>
      <c r="I354" s="4">
        <v>170</v>
      </c>
      <c r="J354" s="4">
        <v>32.299999999999997</v>
      </c>
    </row>
    <row r="355" spans="1:10" x14ac:dyDescent="0.35">
      <c r="A355" t="s">
        <v>363</v>
      </c>
      <c r="B355" s="2">
        <v>45910</v>
      </c>
      <c r="C355" t="s">
        <v>606</v>
      </c>
      <c r="D355" t="s">
        <v>615</v>
      </c>
      <c r="E355" t="s">
        <v>622</v>
      </c>
      <c r="F355" t="s">
        <v>623</v>
      </c>
      <c r="G355" s="4">
        <v>7</v>
      </c>
      <c r="H355" s="6">
        <v>0.1</v>
      </c>
      <c r="I355" s="4">
        <v>1134</v>
      </c>
      <c r="J355" s="4">
        <v>204.12</v>
      </c>
    </row>
    <row r="356" spans="1:10" x14ac:dyDescent="0.35">
      <c r="A356" t="s">
        <v>364</v>
      </c>
      <c r="B356" s="2">
        <v>45911</v>
      </c>
      <c r="C356" t="s">
        <v>582</v>
      </c>
      <c r="D356" t="s">
        <v>618</v>
      </c>
      <c r="E356" t="s">
        <v>620</v>
      </c>
      <c r="F356" t="s">
        <v>626</v>
      </c>
      <c r="G356" s="4">
        <v>7</v>
      </c>
      <c r="H356" s="6">
        <v>0.05</v>
      </c>
      <c r="I356" s="4">
        <v>166.25</v>
      </c>
      <c r="J356" s="4">
        <v>38.24</v>
      </c>
    </row>
    <row r="357" spans="1:10" x14ac:dyDescent="0.35">
      <c r="A357" t="s">
        <v>365</v>
      </c>
      <c r="B357" s="2">
        <v>45911</v>
      </c>
      <c r="C357" t="s">
        <v>575</v>
      </c>
      <c r="D357" t="s">
        <v>611</v>
      </c>
      <c r="E357" t="s">
        <v>620</v>
      </c>
      <c r="F357" t="s">
        <v>626</v>
      </c>
      <c r="G357" s="4">
        <v>8</v>
      </c>
      <c r="H357" s="6">
        <v>0.1</v>
      </c>
      <c r="I357" s="4">
        <v>4680</v>
      </c>
      <c r="J357" s="4">
        <v>748.8</v>
      </c>
    </row>
    <row r="358" spans="1:10" x14ac:dyDescent="0.35">
      <c r="A358" t="s">
        <v>366</v>
      </c>
      <c r="B358" s="2">
        <v>45912</v>
      </c>
      <c r="C358" t="s">
        <v>557</v>
      </c>
      <c r="D358" t="s">
        <v>616</v>
      </c>
      <c r="E358" t="s">
        <v>622</v>
      </c>
      <c r="F358" t="s">
        <v>625</v>
      </c>
      <c r="G358" s="4">
        <v>2</v>
      </c>
      <c r="H358" s="6">
        <v>0</v>
      </c>
      <c r="I358" s="4">
        <v>520</v>
      </c>
      <c r="J358" s="4">
        <v>78</v>
      </c>
    </row>
    <row r="359" spans="1:10" x14ac:dyDescent="0.35">
      <c r="A359" t="s">
        <v>367</v>
      </c>
      <c r="B359" s="2">
        <v>45912</v>
      </c>
      <c r="C359" t="s">
        <v>578</v>
      </c>
      <c r="D359" t="s">
        <v>617</v>
      </c>
      <c r="E359" t="s">
        <v>620</v>
      </c>
      <c r="F359" t="s">
        <v>623</v>
      </c>
      <c r="G359" s="4">
        <v>8</v>
      </c>
      <c r="H359" s="6">
        <v>0</v>
      </c>
      <c r="I359" s="4">
        <v>360</v>
      </c>
      <c r="J359" s="4">
        <v>72</v>
      </c>
    </row>
    <row r="360" spans="1:10" x14ac:dyDescent="0.35">
      <c r="A360" t="s">
        <v>368</v>
      </c>
      <c r="B360" s="2">
        <v>45914</v>
      </c>
      <c r="C360" t="s">
        <v>544</v>
      </c>
      <c r="D360" t="s">
        <v>614</v>
      </c>
      <c r="E360" t="s">
        <v>621</v>
      </c>
      <c r="F360" t="s">
        <v>625</v>
      </c>
      <c r="G360" s="4">
        <v>3</v>
      </c>
      <c r="H360" s="6">
        <v>0</v>
      </c>
      <c r="I360" s="4">
        <v>24</v>
      </c>
      <c r="J360" s="4">
        <v>7.2</v>
      </c>
    </row>
    <row r="361" spans="1:10" x14ac:dyDescent="0.35">
      <c r="A361" t="s">
        <v>369</v>
      </c>
      <c r="B361" s="2">
        <v>45914</v>
      </c>
      <c r="C361" t="s">
        <v>583</v>
      </c>
      <c r="D361" t="s">
        <v>617</v>
      </c>
      <c r="E361" t="s">
        <v>620</v>
      </c>
      <c r="F361" t="s">
        <v>625</v>
      </c>
      <c r="G361" s="4">
        <v>3</v>
      </c>
      <c r="H361" s="6">
        <v>0</v>
      </c>
      <c r="I361" s="4">
        <v>135</v>
      </c>
      <c r="J361" s="4">
        <v>27</v>
      </c>
    </row>
    <row r="362" spans="1:10" x14ac:dyDescent="0.35">
      <c r="A362" t="s">
        <v>370</v>
      </c>
      <c r="B362" s="2">
        <v>45915</v>
      </c>
      <c r="C362" t="s">
        <v>511</v>
      </c>
      <c r="D362" t="s">
        <v>613</v>
      </c>
      <c r="E362" t="s">
        <v>620</v>
      </c>
      <c r="F362" t="s">
        <v>625</v>
      </c>
      <c r="G362" s="4">
        <v>4</v>
      </c>
      <c r="H362" s="6">
        <v>0</v>
      </c>
      <c r="I362" s="4">
        <v>880</v>
      </c>
      <c r="J362" s="4">
        <v>123.2</v>
      </c>
    </row>
    <row r="363" spans="1:10" x14ac:dyDescent="0.35">
      <c r="A363" t="s">
        <v>371</v>
      </c>
      <c r="B363" s="2">
        <v>45915</v>
      </c>
      <c r="C363" t="s">
        <v>545</v>
      </c>
      <c r="D363" t="s">
        <v>610</v>
      </c>
      <c r="E363" t="s">
        <v>620</v>
      </c>
      <c r="F363" t="s">
        <v>626</v>
      </c>
      <c r="G363" s="4">
        <v>6</v>
      </c>
      <c r="H363" s="6">
        <v>0.05</v>
      </c>
      <c r="I363" s="4">
        <v>484.5</v>
      </c>
      <c r="J363" s="4">
        <v>92.06</v>
      </c>
    </row>
    <row r="364" spans="1:10" x14ac:dyDescent="0.35">
      <c r="A364" t="s">
        <v>372</v>
      </c>
      <c r="B364" s="2">
        <v>45916</v>
      </c>
      <c r="C364" t="s">
        <v>512</v>
      </c>
      <c r="D364" t="s">
        <v>615</v>
      </c>
      <c r="E364" t="s">
        <v>622</v>
      </c>
      <c r="F364" t="s">
        <v>623</v>
      </c>
      <c r="G364" s="4">
        <v>5</v>
      </c>
      <c r="H364" s="6">
        <v>0</v>
      </c>
      <c r="I364" s="4">
        <v>900</v>
      </c>
      <c r="J364" s="4">
        <v>162</v>
      </c>
    </row>
    <row r="365" spans="1:10" x14ac:dyDescent="0.35">
      <c r="A365" t="s">
        <v>373</v>
      </c>
      <c r="B365" s="2">
        <v>45916</v>
      </c>
      <c r="C365" t="s">
        <v>517</v>
      </c>
      <c r="D365" t="s">
        <v>616</v>
      </c>
      <c r="E365" t="s">
        <v>622</v>
      </c>
      <c r="F365" t="s">
        <v>623</v>
      </c>
      <c r="G365" s="4">
        <v>6</v>
      </c>
      <c r="H365" s="6">
        <v>0.05</v>
      </c>
      <c r="I365" s="4">
        <v>1482</v>
      </c>
      <c r="J365" s="4">
        <v>222.3</v>
      </c>
    </row>
    <row r="366" spans="1:10" x14ac:dyDescent="0.35">
      <c r="A366" t="s">
        <v>374</v>
      </c>
      <c r="B366" s="2">
        <v>45918</v>
      </c>
      <c r="C366" t="s">
        <v>527</v>
      </c>
      <c r="D366" t="s">
        <v>618</v>
      </c>
      <c r="E366" t="s">
        <v>620</v>
      </c>
      <c r="F366" t="s">
        <v>625</v>
      </c>
      <c r="G366" s="4">
        <v>5</v>
      </c>
      <c r="H366" s="6">
        <v>0</v>
      </c>
      <c r="I366" s="4">
        <v>125</v>
      </c>
      <c r="J366" s="4">
        <v>28.75</v>
      </c>
    </row>
    <row r="367" spans="1:10" x14ac:dyDescent="0.35">
      <c r="A367" t="s">
        <v>375</v>
      </c>
      <c r="B367" s="2">
        <v>45918</v>
      </c>
      <c r="C367" t="s">
        <v>601</v>
      </c>
      <c r="D367" t="s">
        <v>609</v>
      </c>
      <c r="E367" t="s">
        <v>619</v>
      </c>
      <c r="F367" t="s">
        <v>624</v>
      </c>
      <c r="G367" s="4">
        <v>1</v>
      </c>
      <c r="H367" s="6">
        <v>0</v>
      </c>
      <c r="I367" s="4">
        <v>55</v>
      </c>
      <c r="J367" s="4">
        <v>12.1</v>
      </c>
    </row>
    <row r="368" spans="1:10" x14ac:dyDescent="0.35">
      <c r="A368" t="s">
        <v>376</v>
      </c>
      <c r="B368" s="2">
        <v>45919</v>
      </c>
      <c r="C368" t="s">
        <v>593</v>
      </c>
      <c r="D368" t="s">
        <v>613</v>
      </c>
      <c r="E368" t="s">
        <v>620</v>
      </c>
      <c r="F368" t="s">
        <v>624</v>
      </c>
      <c r="G368" s="4">
        <v>7</v>
      </c>
      <c r="H368" s="6">
        <v>0.15</v>
      </c>
      <c r="I368" s="4">
        <v>1309</v>
      </c>
      <c r="J368" s="4">
        <v>183.26</v>
      </c>
    </row>
    <row r="369" spans="1:10" x14ac:dyDescent="0.35">
      <c r="A369" t="s">
        <v>377</v>
      </c>
      <c r="B369" s="2">
        <v>45919</v>
      </c>
      <c r="C369" t="s">
        <v>533</v>
      </c>
      <c r="D369" t="s">
        <v>614</v>
      </c>
      <c r="E369" t="s">
        <v>621</v>
      </c>
      <c r="F369" t="s">
        <v>623</v>
      </c>
      <c r="G369" s="4">
        <v>1</v>
      </c>
      <c r="H369" s="6">
        <v>0</v>
      </c>
      <c r="I369" s="4">
        <v>8</v>
      </c>
      <c r="J369" s="4">
        <v>2.4</v>
      </c>
    </row>
    <row r="370" spans="1:10" x14ac:dyDescent="0.35">
      <c r="A370" t="s">
        <v>378</v>
      </c>
      <c r="B370" s="2">
        <v>45921</v>
      </c>
      <c r="C370" t="s">
        <v>553</v>
      </c>
      <c r="D370" t="s">
        <v>616</v>
      </c>
      <c r="E370" t="s">
        <v>622</v>
      </c>
      <c r="F370" t="s">
        <v>623</v>
      </c>
      <c r="G370" s="4">
        <v>1</v>
      </c>
      <c r="H370" s="6">
        <v>0</v>
      </c>
      <c r="I370" s="4">
        <v>260</v>
      </c>
      <c r="J370" s="4">
        <v>39</v>
      </c>
    </row>
    <row r="371" spans="1:10" x14ac:dyDescent="0.35">
      <c r="A371" t="s">
        <v>379</v>
      </c>
      <c r="B371" s="2">
        <v>45921</v>
      </c>
      <c r="C371" t="s">
        <v>567</v>
      </c>
      <c r="D371" t="s">
        <v>612</v>
      </c>
      <c r="E371" t="s">
        <v>621</v>
      </c>
      <c r="F371" t="s">
        <v>624</v>
      </c>
      <c r="G371" s="4">
        <v>2</v>
      </c>
      <c r="H371" s="6">
        <v>0.05</v>
      </c>
      <c r="I371" s="4">
        <v>22.8</v>
      </c>
      <c r="J371" s="4">
        <v>6.38</v>
      </c>
    </row>
    <row r="372" spans="1:10" x14ac:dyDescent="0.35">
      <c r="A372" t="s">
        <v>380</v>
      </c>
      <c r="B372" s="2">
        <v>45921</v>
      </c>
      <c r="C372" t="s">
        <v>557</v>
      </c>
      <c r="D372" t="s">
        <v>617</v>
      </c>
      <c r="E372" t="s">
        <v>620</v>
      </c>
      <c r="F372" t="s">
        <v>624</v>
      </c>
      <c r="G372" s="4">
        <v>6</v>
      </c>
      <c r="H372" s="6">
        <v>0.05</v>
      </c>
      <c r="I372" s="4">
        <v>256.5</v>
      </c>
      <c r="J372" s="4">
        <v>51.3</v>
      </c>
    </row>
    <row r="373" spans="1:10" x14ac:dyDescent="0.35">
      <c r="A373" t="s">
        <v>381</v>
      </c>
      <c r="B373" s="2">
        <v>45921</v>
      </c>
      <c r="C373" t="s">
        <v>543</v>
      </c>
      <c r="D373" t="s">
        <v>613</v>
      </c>
      <c r="E373" t="s">
        <v>620</v>
      </c>
      <c r="F373" t="s">
        <v>626</v>
      </c>
      <c r="G373" s="4">
        <v>4</v>
      </c>
      <c r="H373" s="6">
        <v>0.05</v>
      </c>
      <c r="I373" s="4">
        <v>836</v>
      </c>
      <c r="J373" s="4">
        <v>117.04</v>
      </c>
    </row>
    <row r="374" spans="1:10" x14ac:dyDescent="0.35">
      <c r="A374" t="s">
        <v>382</v>
      </c>
      <c r="B374" s="2">
        <v>45921</v>
      </c>
      <c r="C374" t="s">
        <v>544</v>
      </c>
      <c r="D374" t="s">
        <v>609</v>
      </c>
      <c r="E374" t="s">
        <v>619</v>
      </c>
      <c r="F374" t="s">
        <v>624</v>
      </c>
      <c r="G374" s="4">
        <v>3</v>
      </c>
      <c r="H374" s="6">
        <v>0.05</v>
      </c>
      <c r="I374" s="4">
        <v>156.75</v>
      </c>
      <c r="J374" s="4">
        <v>34.479999999999997</v>
      </c>
    </row>
    <row r="375" spans="1:10" x14ac:dyDescent="0.35">
      <c r="A375" t="s">
        <v>383</v>
      </c>
      <c r="B375" s="2">
        <v>45923</v>
      </c>
      <c r="C375" t="s">
        <v>528</v>
      </c>
      <c r="D375" t="s">
        <v>617</v>
      </c>
      <c r="E375" t="s">
        <v>620</v>
      </c>
      <c r="F375" t="s">
        <v>623</v>
      </c>
      <c r="G375" s="4">
        <v>2</v>
      </c>
      <c r="H375" s="6">
        <v>0</v>
      </c>
      <c r="I375" s="4">
        <v>90</v>
      </c>
      <c r="J375" s="4">
        <v>18</v>
      </c>
    </row>
    <row r="376" spans="1:10" x14ac:dyDescent="0.35">
      <c r="A376" t="s">
        <v>384</v>
      </c>
      <c r="B376" s="2">
        <v>45924</v>
      </c>
      <c r="C376" t="s">
        <v>569</v>
      </c>
      <c r="D376" t="s">
        <v>614</v>
      </c>
      <c r="E376" t="s">
        <v>621</v>
      </c>
      <c r="F376" t="s">
        <v>625</v>
      </c>
      <c r="G376" s="4">
        <v>1</v>
      </c>
      <c r="H376" s="6">
        <v>0</v>
      </c>
      <c r="I376" s="4">
        <v>8</v>
      </c>
      <c r="J376" s="4">
        <v>2.4</v>
      </c>
    </row>
    <row r="377" spans="1:10" x14ac:dyDescent="0.35">
      <c r="A377" t="s">
        <v>385</v>
      </c>
      <c r="B377" s="2">
        <v>45925</v>
      </c>
      <c r="C377" t="s">
        <v>588</v>
      </c>
      <c r="D377" t="s">
        <v>612</v>
      </c>
      <c r="E377" t="s">
        <v>621</v>
      </c>
      <c r="F377" t="s">
        <v>623</v>
      </c>
      <c r="G377" s="4">
        <v>7</v>
      </c>
      <c r="H377" s="6">
        <v>0</v>
      </c>
      <c r="I377" s="4">
        <v>84</v>
      </c>
      <c r="J377" s="4">
        <v>23.52</v>
      </c>
    </row>
    <row r="378" spans="1:10" x14ac:dyDescent="0.35">
      <c r="A378" t="s">
        <v>386</v>
      </c>
      <c r="B378" s="2">
        <v>45926</v>
      </c>
      <c r="C378" t="s">
        <v>606</v>
      </c>
      <c r="D378" t="s">
        <v>609</v>
      </c>
      <c r="E378" t="s">
        <v>619</v>
      </c>
      <c r="F378" t="s">
        <v>623</v>
      </c>
      <c r="G378" s="4">
        <v>2</v>
      </c>
      <c r="H378" s="6">
        <v>0.05</v>
      </c>
      <c r="I378" s="4">
        <v>104.5</v>
      </c>
      <c r="J378" s="4">
        <v>22.99</v>
      </c>
    </row>
    <row r="379" spans="1:10" x14ac:dyDescent="0.35">
      <c r="A379" t="s">
        <v>387</v>
      </c>
      <c r="B379" s="2">
        <v>45927</v>
      </c>
      <c r="C379" t="s">
        <v>529</v>
      </c>
      <c r="D379" t="s">
        <v>615</v>
      </c>
      <c r="E379" t="s">
        <v>622</v>
      </c>
      <c r="F379" t="s">
        <v>624</v>
      </c>
      <c r="G379" s="4">
        <v>4</v>
      </c>
      <c r="H379" s="6">
        <v>0.15</v>
      </c>
      <c r="I379" s="4">
        <v>612</v>
      </c>
      <c r="J379" s="4">
        <v>110.16</v>
      </c>
    </row>
    <row r="380" spans="1:10" x14ac:dyDescent="0.35">
      <c r="A380" t="s">
        <v>388</v>
      </c>
      <c r="B380" s="2">
        <v>45927</v>
      </c>
      <c r="C380" t="s">
        <v>588</v>
      </c>
      <c r="D380" t="s">
        <v>613</v>
      </c>
      <c r="E380" t="s">
        <v>620</v>
      </c>
      <c r="F380" t="s">
        <v>626</v>
      </c>
      <c r="G380" s="4">
        <v>2</v>
      </c>
      <c r="H380" s="6">
        <v>0.15</v>
      </c>
      <c r="I380" s="4">
        <v>374</v>
      </c>
      <c r="J380" s="4">
        <v>52.36</v>
      </c>
    </row>
    <row r="381" spans="1:10" x14ac:dyDescent="0.35">
      <c r="A381" t="s">
        <v>389</v>
      </c>
      <c r="B381" s="2">
        <v>45927</v>
      </c>
      <c r="C381" t="s">
        <v>520</v>
      </c>
      <c r="D381" t="s">
        <v>618</v>
      </c>
      <c r="E381" t="s">
        <v>620</v>
      </c>
      <c r="F381" t="s">
        <v>624</v>
      </c>
      <c r="G381" s="4">
        <v>6</v>
      </c>
      <c r="H381" s="6">
        <v>0</v>
      </c>
      <c r="I381" s="4">
        <v>150</v>
      </c>
      <c r="J381" s="4">
        <v>34.5</v>
      </c>
    </row>
    <row r="382" spans="1:10" x14ac:dyDescent="0.35">
      <c r="A382" t="s">
        <v>390</v>
      </c>
      <c r="B382" s="2">
        <v>45928</v>
      </c>
      <c r="C382" t="s">
        <v>552</v>
      </c>
      <c r="D382" t="s">
        <v>610</v>
      </c>
      <c r="E382" t="s">
        <v>620</v>
      </c>
      <c r="F382" t="s">
        <v>624</v>
      </c>
      <c r="G382" s="4">
        <v>7</v>
      </c>
      <c r="H382" s="6">
        <v>0.05</v>
      </c>
      <c r="I382" s="4">
        <v>565.25</v>
      </c>
      <c r="J382" s="4">
        <v>107.4</v>
      </c>
    </row>
    <row r="383" spans="1:10" x14ac:dyDescent="0.35">
      <c r="A383" t="s">
        <v>391</v>
      </c>
      <c r="B383" s="2">
        <v>45930</v>
      </c>
      <c r="C383" t="s">
        <v>584</v>
      </c>
      <c r="D383" t="s">
        <v>610</v>
      </c>
      <c r="E383" t="s">
        <v>620</v>
      </c>
      <c r="F383" t="s">
        <v>623</v>
      </c>
      <c r="G383" s="4">
        <v>6</v>
      </c>
      <c r="H383" s="6">
        <v>0</v>
      </c>
      <c r="I383" s="4">
        <v>510</v>
      </c>
      <c r="J383" s="4">
        <v>96.9</v>
      </c>
    </row>
    <row r="384" spans="1:10" x14ac:dyDescent="0.35">
      <c r="A384" t="s">
        <v>392</v>
      </c>
      <c r="B384" s="2">
        <v>45930</v>
      </c>
      <c r="C384" t="s">
        <v>608</v>
      </c>
      <c r="D384" t="s">
        <v>612</v>
      </c>
      <c r="E384" t="s">
        <v>621</v>
      </c>
      <c r="F384" t="s">
        <v>623</v>
      </c>
      <c r="G384" s="4">
        <v>8</v>
      </c>
      <c r="H384" s="6">
        <v>0</v>
      </c>
      <c r="I384" s="4">
        <v>96</v>
      </c>
      <c r="J384" s="4">
        <v>26.88</v>
      </c>
    </row>
    <row r="385" spans="1:10" x14ac:dyDescent="0.35">
      <c r="A385" t="s">
        <v>393</v>
      </c>
      <c r="B385" s="2">
        <v>45932</v>
      </c>
      <c r="C385" t="s">
        <v>571</v>
      </c>
      <c r="D385" t="s">
        <v>614</v>
      </c>
      <c r="E385" t="s">
        <v>621</v>
      </c>
      <c r="F385" t="s">
        <v>626</v>
      </c>
      <c r="G385" s="4">
        <v>4</v>
      </c>
      <c r="H385" s="6">
        <v>0.05</v>
      </c>
      <c r="I385" s="4">
        <v>30.4</v>
      </c>
      <c r="J385" s="4">
        <v>9.1199999999999992</v>
      </c>
    </row>
    <row r="386" spans="1:10" x14ac:dyDescent="0.35">
      <c r="A386" t="s">
        <v>394</v>
      </c>
      <c r="B386" s="2">
        <v>45932</v>
      </c>
      <c r="C386" t="s">
        <v>568</v>
      </c>
      <c r="D386" t="s">
        <v>614</v>
      </c>
      <c r="E386" t="s">
        <v>621</v>
      </c>
      <c r="F386" t="s">
        <v>623</v>
      </c>
      <c r="G386" s="4">
        <v>4</v>
      </c>
      <c r="H386" s="6">
        <v>0.05</v>
      </c>
      <c r="I386" s="4">
        <v>30.4</v>
      </c>
      <c r="J386" s="4">
        <v>9.1199999999999992</v>
      </c>
    </row>
    <row r="387" spans="1:10" x14ac:dyDescent="0.35">
      <c r="A387" t="s">
        <v>395</v>
      </c>
      <c r="B387" s="2">
        <v>45933</v>
      </c>
      <c r="C387" t="s">
        <v>592</v>
      </c>
      <c r="D387" t="s">
        <v>613</v>
      </c>
      <c r="E387" t="s">
        <v>620</v>
      </c>
      <c r="F387" t="s">
        <v>625</v>
      </c>
      <c r="G387" s="4">
        <v>6</v>
      </c>
      <c r="H387" s="6">
        <v>0.1</v>
      </c>
      <c r="I387" s="4">
        <v>1188</v>
      </c>
      <c r="J387" s="4">
        <v>166.32</v>
      </c>
    </row>
    <row r="388" spans="1:10" x14ac:dyDescent="0.35">
      <c r="A388" t="s">
        <v>396</v>
      </c>
      <c r="B388" s="2">
        <v>45934</v>
      </c>
      <c r="C388" t="s">
        <v>585</v>
      </c>
      <c r="D388" t="s">
        <v>615</v>
      </c>
      <c r="E388" t="s">
        <v>622</v>
      </c>
      <c r="F388" t="s">
        <v>623</v>
      </c>
      <c r="G388" s="4">
        <v>1</v>
      </c>
      <c r="H388" s="6">
        <v>0</v>
      </c>
      <c r="I388" s="4">
        <v>180</v>
      </c>
      <c r="J388" s="4">
        <v>32.4</v>
      </c>
    </row>
    <row r="389" spans="1:10" x14ac:dyDescent="0.35">
      <c r="A389" t="s">
        <v>397</v>
      </c>
      <c r="B389" s="2">
        <v>45934</v>
      </c>
      <c r="C389" t="s">
        <v>574</v>
      </c>
      <c r="D389" t="s">
        <v>611</v>
      </c>
      <c r="E389" t="s">
        <v>620</v>
      </c>
      <c r="F389" t="s">
        <v>625</v>
      </c>
      <c r="G389" s="4">
        <v>8</v>
      </c>
      <c r="H389" s="6">
        <v>0</v>
      </c>
      <c r="I389" s="4">
        <v>5200</v>
      </c>
      <c r="J389" s="4">
        <v>832</v>
      </c>
    </row>
    <row r="390" spans="1:10" x14ac:dyDescent="0.35">
      <c r="A390" t="s">
        <v>398</v>
      </c>
      <c r="B390" s="2">
        <v>45934</v>
      </c>
      <c r="C390" t="s">
        <v>587</v>
      </c>
      <c r="D390" t="s">
        <v>618</v>
      </c>
      <c r="E390" t="s">
        <v>620</v>
      </c>
      <c r="F390" t="s">
        <v>623</v>
      </c>
      <c r="G390" s="4">
        <v>3</v>
      </c>
      <c r="H390" s="6">
        <v>0</v>
      </c>
      <c r="I390" s="4">
        <v>75</v>
      </c>
      <c r="J390" s="4">
        <v>17.25</v>
      </c>
    </row>
    <row r="391" spans="1:10" x14ac:dyDescent="0.35">
      <c r="A391" t="s">
        <v>399</v>
      </c>
      <c r="B391" s="2">
        <v>45935</v>
      </c>
      <c r="C391" t="s">
        <v>562</v>
      </c>
      <c r="D391" t="s">
        <v>616</v>
      </c>
      <c r="E391" t="s">
        <v>622</v>
      </c>
      <c r="F391" t="s">
        <v>626</v>
      </c>
      <c r="G391" s="4">
        <v>5</v>
      </c>
      <c r="H391" s="6">
        <v>0.05</v>
      </c>
      <c r="I391" s="4">
        <v>1235</v>
      </c>
      <c r="J391" s="4">
        <v>185.25</v>
      </c>
    </row>
    <row r="392" spans="1:10" x14ac:dyDescent="0.35">
      <c r="A392" t="s">
        <v>400</v>
      </c>
      <c r="B392" s="2">
        <v>45936</v>
      </c>
      <c r="C392" t="s">
        <v>573</v>
      </c>
      <c r="D392" t="s">
        <v>613</v>
      </c>
      <c r="E392" t="s">
        <v>620</v>
      </c>
      <c r="F392" t="s">
        <v>624</v>
      </c>
      <c r="G392" s="4">
        <v>5</v>
      </c>
      <c r="H392" s="6">
        <v>0</v>
      </c>
      <c r="I392" s="4">
        <v>1100</v>
      </c>
      <c r="J392" s="4">
        <v>154</v>
      </c>
    </row>
    <row r="393" spans="1:10" x14ac:dyDescent="0.35">
      <c r="A393" t="s">
        <v>401</v>
      </c>
      <c r="B393" s="2">
        <v>45938</v>
      </c>
      <c r="C393" t="s">
        <v>586</v>
      </c>
      <c r="D393" t="s">
        <v>617</v>
      </c>
      <c r="E393" t="s">
        <v>620</v>
      </c>
      <c r="F393" t="s">
        <v>626</v>
      </c>
      <c r="G393" s="4">
        <v>8</v>
      </c>
      <c r="H393" s="6">
        <v>0.05</v>
      </c>
      <c r="I393" s="4">
        <v>342</v>
      </c>
      <c r="J393" s="4">
        <v>68.400000000000006</v>
      </c>
    </row>
    <row r="394" spans="1:10" x14ac:dyDescent="0.35">
      <c r="A394" t="s">
        <v>402</v>
      </c>
      <c r="B394" s="2">
        <v>45939</v>
      </c>
      <c r="C394" t="s">
        <v>540</v>
      </c>
      <c r="D394" t="s">
        <v>614</v>
      </c>
      <c r="E394" t="s">
        <v>621</v>
      </c>
      <c r="F394" t="s">
        <v>626</v>
      </c>
      <c r="G394" s="4">
        <v>4</v>
      </c>
      <c r="H394" s="6">
        <v>0</v>
      </c>
      <c r="I394" s="4">
        <v>32</v>
      </c>
      <c r="J394" s="4">
        <v>9.6</v>
      </c>
    </row>
    <row r="395" spans="1:10" x14ac:dyDescent="0.35">
      <c r="A395" t="s">
        <v>403</v>
      </c>
      <c r="B395" s="2">
        <v>45939</v>
      </c>
      <c r="C395" t="s">
        <v>567</v>
      </c>
      <c r="D395" t="s">
        <v>612</v>
      </c>
      <c r="E395" t="s">
        <v>621</v>
      </c>
      <c r="F395" t="s">
        <v>623</v>
      </c>
      <c r="G395" s="4">
        <v>1</v>
      </c>
      <c r="H395" s="6">
        <v>0.1</v>
      </c>
      <c r="I395" s="4">
        <v>10.8</v>
      </c>
      <c r="J395" s="4">
        <v>3.02</v>
      </c>
    </row>
    <row r="396" spans="1:10" x14ac:dyDescent="0.35">
      <c r="A396" t="s">
        <v>404</v>
      </c>
      <c r="B396" s="2">
        <v>45939</v>
      </c>
      <c r="C396" t="s">
        <v>541</v>
      </c>
      <c r="D396" t="s">
        <v>612</v>
      </c>
      <c r="E396" t="s">
        <v>621</v>
      </c>
      <c r="F396" t="s">
        <v>625</v>
      </c>
      <c r="G396" s="4">
        <v>5</v>
      </c>
      <c r="H396" s="6">
        <v>0.1</v>
      </c>
      <c r="I396" s="4">
        <v>54</v>
      </c>
      <c r="J396" s="4">
        <v>15.12</v>
      </c>
    </row>
    <row r="397" spans="1:10" x14ac:dyDescent="0.35">
      <c r="A397" t="s">
        <v>405</v>
      </c>
      <c r="B397" s="2">
        <v>45940</v>
      </c>
      <c r="C397" t="s">
        <v>511</v>
      </c>
      <c r="D397" t="s">
        <v>611</v>
      </c>
      <c r="E397" t="s">
        <v>620</v>
      </c>
      <c r="F397" t="s">
        <v>625</v>
      </c>
      <c r="G397" s="4">
        <v>1</v>
      </c>
      <c r="H397" s="6">
        <v>0.1</v>
      </c>
      <c r="I397" s="4">
        <v>585</v>
      </c>
      <c r="J397" s="4">
        <v>93.6</v>
      </c>
    </row>
    <row r="398" spans="1:10" x14ac:dyDescent="0.35">
      <c r="A398" t="s">
        <v>406</v>
      </c>
      <c r="B398" s="2">
        <v>45940</v>
      </c>
      <c r="C398" t="s">
        <v>565</v>
      </c>
      <c r="D398" t="s">
        <v>609</v>
      </c>
      <c r="E398" t="s">
        <v>619</v>
      </c>
      <c r="F398" t="s">
        <v>625</v>
      </c>
      <c r="G398" s="4">
        <v>2</v>
      </c>
      <c r="H398" s="6">
        <v>0</v>
      </c>
      <c r="I398" s="4">
        <v>110</v>
      </c>
      <c r="J398" s="4">
        <v>24.2</v>
      </c>
    </row>
    <row r="399" spans="1:10" x14ac:dyDescent="0.35">
      <c r="A399" t="s">
        <v>407</v>
      </c>
      <c r="B399" s="2">
        <v>45943</v>
      </c>
      <c r="C399" t="s">
        <v>529</v>
      </c>
      <c r="D399" t="s">
        <v>611</v>
      </c>
      <c r="E399" t="s">
        <v>620</v>
      </c>
      <c r="F399" t="s">
        <v>626</v>
      </c>
      <c r="G399" s="4">
        <v>5</v>
      </c>
      <c r="H399" s="6">
        <v>0.05</v>
      </c>
      <c r="I399" s="4">
        <v>3087.5</v>
      </c>
      <c r="J399" s="4">
        <v>494</v>
      </c>
    </row>
    <row r="400" spans="1:10" x14ac:dyDescent="0.35">
      <c r="A400" t="s">
        <v>408</v>
      </c>
      <c r="B400" s="2">
        <v>45944</v>
      </c>
      <c r="C400" t="s">
        <v>570</v>
      </c>
      <c r="D400" t="s">
        <v>611</v>
      </c>
      <c r="E400" t="s">
        <v>620</v>
      </c>
      <c r="F400" t="s">
        <v>626</v>
      </c>
      <c r="G400" s="4">
        <v>3</v>
      </c>
      <c r="H400" s="6">
        <v>0</v>
      </c>
      <c r="I400" s="4">
        <v>1950</v>
      </c>
      <c r="J400" s="4">
        <v>312</v>
      </c>
    </row>
    <row r="401" spans="1:10" x14ac:dyDescent="0.35">
      <c r="A401" t="s">
        <v>409</v>
      </c>
      <c r="B401" s="2">
        <v>45945</v>
      </c>
      <c r="C401" t="s">
        <v>597</v>
      </c>
      <c r="D401" t="s">
        <v>613</v>
      </c>
      <c r="E401" t="s">
        <v>620</v>
      </c>
      <c r="F401" t="s">
        <v>624</v>
      </c>
      <c r="G401" s="4">
        <v>2</v>
      </c>
      <c r="H401" s="6">
        <v>0</v>
      </c>
      <c r="I401" s="4">
        <v>440</v>
      </c>
      <c r="J401" s="4">
        <v>61.6</v>
      </c>
    </row>
    <row r="402" spans="1:10" x14ac:dyDescent="0.35">
      <c r="A402" t="s">
        <v>410</v>
      </c>
      <c r="B402" s="2">
        <v>45945</v>
      </c>
      <c r="C402" t="s">
        <v>530</v>
      </c>
      <c r="D402" t="s">
        <v>611</v>
      </c>
      <c r="E402" t="s">
        <v>620</v>
      </c>
      <c r="F402" t="s">
        <v>625</v>
      </c>
      <c r="G402" s="4">
        <v>8</v>
      </c>
      <c r="H402" s="6">
        <v>0</v>
      </c>
      <c r="I402" s="4">
        <v>5200</v>
      </c>
      <c r="J402" s="4">
        <v>832</v>
      </c>
    </row>
    <row r="403" spans="1:10" x14ac:dyDescent="0.35">
      <c r="A403" t="s">
        <v>411</v>
      </c>
      <c r="B403" s="2">
        <v>45945</v>
      </c>
      <c r="C403" t="s">
        <v>585</v>
      </c>
      <c r="D403" t="s">
        <v>614</v>
      </c>
      <c r="E403" t="s">
        <v>621</v>
      </c>
      <c r="F403" t="s">
        <v>624</v>
      </c>
      <c r="G403" s="4">
        <v>2</v>
      </c>
      <c r="H403" s="6">
        <v>0</v>
      </c>
      <c r="I403" s="4">
        <v>16</v>
      </c>
      <c r="J403" s="4">
        <v>4.8</v>
      </c>
    </row>
    <row r="404" spans="1:10" x14ac:dyDescent="0.35">
      <c r="A404" t="s">
        <v>412</v>
      </c>
      <c r="B404" s="2">
        <v>45946</v>
      </c>
      <c r="C404" t="s">
        <v>566</v>
      </c>
      <c r="D404" t="s">
        <v>614</v>
      </c>
      <c r="E404" t="s">
        <v>621</v>
      </c>
      <c r="F404" t="s">
        <v>623</v>
      </c>
      <c r="G404" s="4">
        <v>5</v>
      </c>
      <c r="H404" s="6">
        <v>0</v>
      </c>
      <c r="I404" s="4">
        <v>40</v>
      </c>
      <c r="J404" s="4">
        <v>12</v>
      </c>
    </row>
    <row r="405" spans="1:10" x14ac:dyDescent="0.35">
      <c r="A405" t="s">
        <v>413</v>
      </c>
      <c r="B405" s="2">
        <v>45946</v>
      </c>
      <c r="C405" t="s">
        <v>585</v>
      </c>
      <c r="D405" t="s">
        <v>616</v>
      </c>
      <c r="E405" t="s">
        <v>622</v>
      </c>
      <c r="F405" t="s">
        <v>625</v>
      </c>
      <c r="G405" s="4">
        <v>8</v>
      </c>
      <c r="H405" s="6">
        <v>0</v>
      </c>
      <c r="I405" s="4">
        <v>2080</v>
      </c>
      <c r="J405" s="4">
        <v>312</v>
      </c>
    </row>
    <row r="406" spans="1:10" x14ac:dyDescent="0.35">
      <c r="A406" t="s">
        <v>414</v>
      </c>
      <c r="B406" s="2">
        <v>45946</v>
      </c>
      <c r="C406" t="s">
        <v>541</v>
      </c>
      <c r="D406" t="s">
        <v>616</v>
      </c>
      <c r="E406" t="s">
        <v>622</v>
      </c>
      <c r="F406" t="s">
        <v>625</v>
      </c>
      <c r="G406" s="4">
        <v>3</v>
      </c>
      <c r="H406" s="6">
        <v>0.05</v>
      </c>
      <c r="I406" s="4">
        <v>741</v>
      </c>
      <c r="J406" s="4">
        <v>111.15</v>
      </c>
    </row>
    <row r="407" spans="1:10" x14ac:dyDescent="0.35">
      <c r="A407" t="s">
        <v>415</v>
      </c>
      <c r="B407" s="2">
        <v>45948</v>
      </c>
      <c r="C407" t="s">
        <v>526</v>
      </c>
      <c r="D407" t="s">
        <v>610</v>
      </c>
      <c r="E407" t="s">
        <v>620</v>
      </c>
      <c r="F407" t="s">
        <v>624</v>
      </c>
      <c r="G407" s="4">
        <v>7</v>
      </c>
      <c r="H407" s="6">
        <v>0.15</v>
      </c>
      <c r="I407" s="4">
        <v>505.75</v>
      </c>
      <c r="J407" s="4">
        <v>96.09</v>
      </c>
    </row>
    <row r="408" spans="1:10" x14ac:dyDescent="0.35">
      <c r="A408" t="s">
        <v>416</v>
      </c>
      <c r="B408" s="2">
        <v>45948</v>
      </c>
      <c r="C408" t="s">
        <v>560</v>
      </c>
      <c r="D408" t="s">
        <v>614</v>
      </c>
      <c r="E408" t="s">
        <v>621</v>
      </c>
      <c r="F408" t="s">
        <v>625</v>
      </c>
      <c r="G408" s="4">
        <v>1</v>
      </c>
      <c r="H408" s="6">
        <v>0</v>
      </c>
      <c r="I408" s="4">
        <v>8</v>
      </c>
      <c r="J408" s="4">
        <v>2.4</v>
      </c>
    </row>
    <row r="409" spans="1:10" x14ac:dyDescent="0.35">
      <c r="A409" t="s">
        <v>417</v>
      </c>
      <c r="B409" s="2">
        <v>45949</v>
      </c>
      <c r="C409" t="s">
        <v>558</v>
      </c>
      <c r="D409" t="s">
        <v>617</v>
      </c>
      <c r="E409" t="s">
        <v>620</v>
      </c>
      <c r="F409" t="s">
        <v>624</v>
      </c>
      <c r="G409" s="4">
        <v>5</v>
      </c>
      <c r="H409" s="6">
        <v>0</v>
      </c>
      <c r="I409" s="4">
        <v>225</v>
      </c>
      <c r="J409" s="4">
        <v>45</v>
      </c>
    </row>
    <row r="410" spans="1:10" x14ac:dyDescent="0.35">
      <c r="A410" t="s">
        <v>418</v>
      </c>
      <c r="B410" s="2">
        <v>45949</v>
      </c>
      <c r="C410" t="s">
        <v>594</v>
      </c>
      <c r="D410" t="s">
        <v>611</v>
      </c>
      <c r="E410" t="s">
        <v>620</v>
      </c>
      <c r="F410" t="s">
        <v>623</v>
      </c>
      <c r="G410" s="4">
        <v>2</v>
      </c>
      <c r="H410" s="6">
        <v>0.05</v>
      </c>
      <c r="I410" s="4">
        <v>1235</v>
      </c>
      <c r="J410" s="4">
        <v>197.6</v>
      </c>
    </row>
    <row r="411" spans="1:10" x14ac:dyDescent="0.35">
      <c r="A411" t="s">
        <v>419</v>
      </c>
      <c r="B411" s="2">
        <v>45950</v>
      </c>
      <c r="C411" t="s">
        <v>530</v>
      </c>
      <c r="D411" t="s">
        <v>616</v>
      </c>
      <c r="E411" t="s">
        <v>622</v>
      </c>
      <c r="F411" t="s">
        <v>626</v>
      </c>
      <c r="G411" s="4">
        <v>8</v>
      </c>
      <c r="H411" s="6">
        <v>0</v>
      </c>
      <c r="I411" s="4">
        <v>2080</v>
      </c>
      <c r="J411" s="4">
        <v>312</v>
      </c>
    </row>
    <row r="412" spans="1:10" x14ac:dyDescent="0.35">
      <c r="A412" t="s">
        <v>420</v>
      </c>
      <c r="B412" s="2">
        <v>45950</v>
      </c>
      <c r="C412" t="s">
        <v>520</v>
      </c>
      <c r="D412" t="s">
        <v>613</v>
      </c>
      <c r="E412" t="s">
        <v>620</v>
      </c>
      <c r="F412" t="s">
        <v>623</v>
      </c>
      <c r="G412" s="4">
        <v>6</v>
      </c>
      <c r="H412" s="6">
        <v>0</v>
      </c>
      <c r="I412" s="4">
        <v>1320</v>
      </c>
      <c r="J412" s="4">
        <v>184.8</v>
      </c>
    </row>
    <row r="413" spans="1:10" x14ac:dyDescent="0.35">
      <c r="A413" t="s">
        <v>421</v>
      </c>
      <c r="B413" s="2">
        <v>45950</v>
      </c>
      <c r="C413" t="s">
        <v>558</v>
      </c>
      <c r="D413" t="s">
        <v>613</v>
      </c>
      <c r="E413" t="s">
        <v>620</v>
      </c>
      <c r="F413" t="s">
        <v>626</v>
      </c>
      <c r="G413" s="4">
        <v>1</v>
      </c>
      <c r="H413" s="6">
        <v>0</v>
      </c>
      <c r="I413" s="4">
        <v>220</v>
      </c>
      <c r="J413" s="4">
        <v>30.8</v>
      </c>
    </row>
    <row r="414" spans="1:10" x14ac:dyDescent="0.35">
      <c r="A414" t="s">
        <v>422</v>
      </c>
      <c r="B414" s="2">
        <v>45951</v>
      </c>
      <c r="C414" t="s">
        <v>510</v>
      </c>
      <c r="D414" t="s">
        <v>609</v>
      </c>
      <c r="E414" t="s">
        <v>619</v>
      </c>
      <c r="F414" t="s">
        <v>625</v>
      </c>
      <c r="G414" s="4">
        <v>4</v>
      </c>
      <c r="H414" s="6">
        <v>0.15</v>
      </c>
      <c r="I414" s="4">
        <v>187</v>
      </c>
      <c r="J414" s="4">
        <v>41.14</v>
      </c>
    </row>
    <row r="415" spans="1:10" x14ac:dyDescent="0.35">
      <c r="A415" t="s">
        <v>423</v>
      </c>
      <c r="B415" s="2">
        <v>45951</v>
      </c>
      <c r="C415" t="s">
        <v>537</v>
      </c>
      <c r="D415" t="s">
        <v>613</v>
      </c>
      <c r="E415" t="s">
        <v>620</v>
      </c>
      <c r="F415" t="s">
        <v>624</v>
      </c>
      <c r="G415" s="4">
        <v>2</v>
      </c>
      <c r="H415" s="6">
        <v>0</v>
      </c>
      <c r="I415" s="4">
        <v>440</v>
      </c>
      <c r="J415" s="4">
        <v>61.6</v>
      </c>
    </row>
    <row r="416" spans="1:10" x14ac:dyDescent="0.35">
      <c r="A416" t="s">
        <v>424</v>
      </c>
      <c r="B416" s="2">
        <v>45952</v>
      </c>
      <c r="C416" t="s">
        <v>570</v>
      </c>
      <c r="D416" t="s">
        <v>609</v>
      </c>
      <c r="E416" t="s">
        <v>619</v>
      </c>
      <c r="F416" t="s">
        <v>626</v>
      </c>
      <c r="G416" s="4">
        <v>8</v>
      </c>
      <c r="H416" s="6">
        <v>0.1</v>
      </c>
      <c r="I416" s="4">
        <v>396</v>
      </c>
      <c r="J416" s="4">
        <v>87.12</v>
      </c>
    </row>
    <row r="417" spans="1:10" x14ac:dyDescent="0.35">
      <c r="A417" t="s">
        <v>425</v>
      </c>
      <c r="B417" s="2">
        <v>45952</v>
      </c>
      <c r="C417" t="s">
        <v>559</v>
      </c>
      <c r="D417" t="s">
        <v>615</v>
      </c>
      <c r="E417" t="s">
        <v>622</v>
      </c>
      <c r="F417" t="s">
        <v>625</v>
      </c>
      <c r="G417" s="4">
        <v>4</v>
      </c>
      <c r="H417" s="6">
        <v>0</v>
      </c>
      <c r="I417" s="4">
        <v>720</v>
      </c>
      <c r="J417" s="4">
        <v>129.6</v>
      </c>
    </row>
    <row r="418" spans="1:10" x14ac:dyDescent="0.35">
      <c r="A418" t="s">
        <v>426</v>
      </c>
      <c r="B418" s="2">
        <v>45956</v>
      </c>
      <c r="C418" t="s">
        <v>540</v>
      </c>
      <c r="D418" t="s">
        <v>609</v>
      </c>
      <c r="E418" t="s">
        <v>619</v>
      </c>
      <c r="F418" t="s">
        <v>625</v>
      </c>
      <c r="G418" s="4">
        <v>3</v>
      </c>
      <c r="H418" s="6">
        <v>0</v>
      </c>
      <c r="I418" s="4">
        <v>165</v>
      </c>
      <c r="J418" s="4">
        <v>36.299999999999997</v>
      </c>
    </row>
    <row r="419" spans="1:10" x14ac:dyDescent="0.35">
      <c r="A419" t="s">
        <v>427</v>
      </c>
      <c r="B419" s="2">
        <v>45956</v>
      </c>
      <c r="C419" t="s">
        <v>520</v>
      </c>
      <c r="D419" t="s">
        <v>609</v>
      </c>
      <c r="E419" t="s">
        <v>619</v>
      </c>
      <c r="F419" t="s">
        <v>625</v>
      </c>
      <c r="G419" s="4">
        <v>1</v>
      </c>
      <c r="H419" s="6">
        <v>0.05</v>
      </c>
      <c r="I419" s="4">
        <v>52.25</v>
      </c>
      <c r="J419" s="4">
        <v>11.5</v>
      </c>
    </row>
    <row r="420" spans="1:10" x14ac:dyDescent="0.35">
      <c r="A420" t="s">
        <v>428</v>
      </c>
      <c r="B420" s="2">
        <v>45957</v>
      </c>
      <c r="C420" t="s">
        <v>585</v>
      </c>
      <c r="D420" t="s">
        <v>609</v>
      </c>
      <c r="E420" t="s">
        <v>619</v>
      </c>
      <c r="F420" t="s">
        <v>625</v>
      </c>
      <c r="G420" s="4">
        <v>6</v>
      </c>
      <c r="H420" s="6">
        <v>0.15</v>
      </c>
      <c r="I420" s="4">
        <v>280.5</v>
      </c>
      <c r="J420" s="4">
        <v>61.71</v>
      </c>
    </row>
    <row r="421" spans="1:10" x14ac:dyDescent="0.35">
      <c r="A421" t="s">
        <v>429</v>
      </c>
      <c r="B421" s="2">
        <v>45959</v>
      </c>
      <c r="C421" t="s">
        <v>516</v>
      </c>
      <c r="D421" t="s">
        <v>616</v>
      </c>
      <c r="E421" t="s">
        <v>622</v>
      </c>
      <c r="F421" t="s">
        <v>626</v>
      </c>
      <c r="G421" s="4">
        <v>6</v>
      </c>
      <c r="H421" s="6">
        <v>0</v>
      </c>
      <c r="I421" s="4">
        <v>1560</v>
      </c>
      <c r="J421" s="4">
        <v>234</v>
      </c>
    </row>
    <row r="422" spans="1:10" x14ac:dyDescent="0.35">
      <c r="A422" t="s">
        <v>430</v>
      </c>
      <c r="B422" s="2">
        <v>45959</v>
      </c>
      <c r="C422" t="s">
        <v>564</v>
      </c>
      <c r="D422" t="s">
        <v>612</v>
      </c>
      <c r="E422" t="s">
        <v>621</v>
      </c>
      <c r="F422" t="s">
        <v>625</v>
      </c>
      <c r="G422" s="4">
        <v>6</v>
      </c>
      <c r="H422" s="6">
        <v>0</v>
      </c>
      <c r="I422" s="4">
        <v>72</v>
      </c>
      <c r="J422" s="4">
        <v>20.16</v>
      </c>
    </row>
    <row r="423" spans="1:10" x14ac:dyDescent="0.35">
      <c r="A423" t="s">
        <v>431</v>
      </c>
      <c r="B423" s="2">
        <v>45960</v>
      </c>
      <c r="C423" t="s">
        <v>607</v>
      </c>
      <c r="D423" t="s">
        <v>615</v>
      </c>
      <c r="E423" t="s">
        <v>622</v>
      </c>
      <c r="F423" t="s">
        <v>624</v>
      </c>
      <c r="G423" s="4">
        <v>7</v>
      </c>
      <c r="H423" s="6">
        <v>0</v>
      </c>
      <c r="I423" s="4">
        <v>1260</v>
      </c>
      <c r="J423" s="4">
        <v>226.8</v>
      </c>
    </row>
    <row r="424" spans="1:10" x14ac:dyDescent="0.35">
      <c r="A424" t="s">
        <v>432</v>
      </c>
      <c r="B424" s="2">
        <v>45960</v>
      </c>
      <c r="C424" t="s">
        <v>562</v>
      </c>
      <c r="D424" t="s">
        <v>613</v>
      </c>
      <c r="E424" t="s">
        <v>620</v>
      </c>
      <c r="F424" t="s">
        <v>623</v>
      </c>
      <c r="G424" s="4">
        <v>2</v>
      </c>
      <c r="H424" s="6">
        <v>0</v>
      </c>
      <c r="I424" s="4">
        <v>440</v>
      </c>
      <c r="J424" s="4">
        <v>61.6</v>
      </c>
    </row>
    <row r="425" spans="1:10" x14ac:dyDescent="0.35">
      <c r="A425" t="s">
        <v>433</v>
      </c>
      <c r="B425" s="2">
        <v>45961</v>
      </c>
      <c r="C425" t="s">
        <v>547</v>
      </c>
      <c r="D425" t="s">
        <v>616</v>
      </c>
      <c r="E425" t="s">
        <v>622</v>
      </c>
      <c r="F425" t="s">
        <v>623</v>
      </c>
      <c r="G425" s="4">
        <v>2</v>
      </c>
      <c r="H425" s="6">
        <v>0</v>
      </c>
      <c r="I425" s="4">
        <v>520</v>
      </c>
      <c r="J425" s="4">
        <v>78</v>
      </c>
    </row>
    <row r="426" spans="1:10" x14ac:dyDescent="0.35">
      <c r="A426" t="s">
        <v>434</v>
      </c>
      <c r="B426" s="2">
        <v>45962</v>
      </c>
      <c r="C426" t="s">
        <v>524</v>
      </c>
      <c r="D426" t="s">
        <v>616</v>
      </c>
      <c r="E426" t="s">
        <v>622</v>
      </c>
      <c r="F426" t="s">
        <v>624</v>
      </c>
      <c r="G426" s="4">
        <v>8</v>
      </c>
      <c r="H426" s="6">
        <v>0.1</v>
      </c>
      <c r="I426" s="4">
        <v>1872</v>
      </c>
      <c r="J426" s="4">
        <v>280.8</v>
      </c>
    </row>
    <row r="427" spans="1:10" x14ac:dyDescent="0.35">
      <c r="A427" t="s">
        <v>435</v>
      </c>
      <c r="B427" s="2">
        <v>45962</v>
      </c>
      <c r="C427" t="s">
        <v>590</v>
      </c>
      <c r="D427" t="s">
        <v>610</v>
      </c>
      <c r="E427" t="s">
        <v>620</v>
      </c>
      <c r="F427" t="s">
        <v>623</v>
      </c>
      <c r="G427" s="4">
        <v>7</v>
      </c>
      <c r="H427" s="6">
        <v>0</v>
      </c>
      <c r="I427" s="4">
        <v>595</v>
      </c>
      <c r="J427" s="4">
        <v>113.05</v>
      </c>
    </row>
    <row r="428" spans="1:10" x14ac:dyDescent="0.35">
      <c r="A428" t="s">
        <v>436</v>
      </c>
      <c r="B428" s="2">
        <v>45962</v>
      </c>
      <c r="C428" t="s">
        <v>545</v>
      </c>
      <c r="D428" t="s">
        <v>610</v>
      </c>
      <c r="E428" t="s">
        <v>620</v>
      </c>
      <c r="F428" t="s">
        <v>626</v>
      </c>
      <c r="G428" s="4">
        <v>1</v>
      </c>
      <c r="H428" s="6">
        <v>0</v>
      </c>
      <c r="I428" s="4">
        <v>85</v>
      </c>
      <c r="J428" s="4">
        <v>16.149999999999999</v>
      </c>
    </row>
    <row r="429" spans="1:10" x14ac:dyDescent="0.35">
      <c r="A429" t="s">
        <v>437</v>
      </c>
      <c r="B429" s="2">
        <v>45962</v>
      </c>
      <c r="C429" t="s">
        <v>573</v>
      </c>
      <c r="D429" t="s">
        <v>612</v>
      </c>
      <c r="E429" t="s">
        <v>621</v>
      </c>
      <c r="F429" t="s">
        <v>626</v>
      </c>
      <c r="G429" s="4">
        <v>4</v>
      </c>
      <c r="H429" s="6">
        <v>0</v>
      </c>
      <c r="I429" s="4">
        <v>48</v>
      </c>
      <c r="J429" s="4">
        <v>13.44</v>
      </c>
    </row>
    <row r="430" spans="1:10" x14ac:dyDescent="0.35">
      <c r="A430" t="s">
        <v>438</v>
      </c>
      <c r="B430" s="2">
        <v>45963</v>
      </c>
      <c r="C430" t="s">
        <v>587</v>
      </c>
      <c r="D430" t="s">
        <v>613</v>
      </c>
      <c r="E430" t="s">
        <v>620</v>
      </c>
      <c r="F430" t="s">
        <v>625</v>
      </c>
      <c r="G430" s="4">
        <v>6</v>
      </c>
      <c r="H430" s="6">
        <v>0</v>
      </c>
      <c r="I430" s="4">
        <v>1320</v>
      </c>
      <c r="J430" s="4">
        <v>184.8</v>
      </c>
    </row>
    <row r="431" spans="1:10" x14ac:dyDescent="0.35">
      <c r="A431" t="s">
        <v>439</v>
      </c>
      <c r="B431" s="2">
        <v>45965</v>
      </c>
      <c r="C431" t="s">
        <v>583</v>
      </c>
      <c r="D431" t="s">
        <v>617</v>
      </c>
      <c r="E431" t="s">
        <v>620</v>
      </c>
      <c r="F431" t="s">
        <v>623</v>
      </c>
      <c r="G431" s="4">
        <v>7</v>
      </c>
      <c r="H431" s="6">
        <v>0</v>
      </c>
      <c r="I431" s="4">
        <v>315</v>
      </c>
      <c r="J431" s="4">
        <v>63</v>
      </c>
    </row>
    <row r="432" spans="1:10" x14ac:dyDescent="0.35">
      <c r="A432" t="s">
        <v>440</v>
      </c>
      <c r="B432" s="2">
        <v>45965</v>
      </c>
      <c r="C432" t="s">
        <v>535</v>
      </c>
      <c r="D432" t="s">
        <v>617</v>
      </c>
      <c r="E432" t="s">
        <v>620</v>
      </c>
      <c r="F432" t="s">
        <v>626</v>
      </c>
      <c r="G432" s="4">
        <v>7</v>
      </c>
      <c r="H432" s="6">
        <v>0.15</v>
      </c>
      <c r="I432" s="4">
        <v>267.75</v>
      </c>
      <c r="J432" s="4">
        <v>53.55</v>
      </c>
    </row>
    <row r="433" spans="1:10" x14ac:dyDescent="0.35">
      <c r="A433" t="s">
        <v>441</v>
      </c>
      <c r="B433" s="2">
        <v>45966</v>
      </c>
      <c r="C433" t="s">
        <v>569</v>
      </c>
      <c r="D433" t="s">
        <v>611</v>
      </c>
      <c r="E433" t="s">
        <v>620</v>
      </c>
      <c r="F433" t="s">
        <v>626</v>
      </c>
      <c r="G433" s="4">
        <v>1</v>
      </c>
      <c r="H433" s="6">
        <v>0</v>
      </c>
      <c r="I433" s="4">
        <v>650</v>
      </c>
      <c r="J433" s="4">
        <v>104</v>
      </c>
    </row>
    <row r="434" spans="1:10" x14ac:dyDescent="0.35">
      <c r="A434" t="s">
        <v>442</v>
      </c>
      <c r="B434" s="2">
        <v>45967</v>
      </c>
      <c r="C434" t="s">
        <v>585</v>
      </c>
      <c r="D434" t="s">
        <v>610</v>
      </c>
      <c r="E434" t="s">
        <v>620</v>
      </c>
      <c r="F434" t="s">
        <v>623</v>
      </c>
      <c r="G434" s="4">
        <v>5</v>
      </c>
      <c r="H434" s="6">
        <v>0.05</v>
      </c>
      <c r="I434" s="4">
        <v>403.75</v>
      </c>
      <c r="J434" s="4">
        <v>76.709999999999994</v>
      </c>
    </row>
    <row r="435" spans="1:10" x14ac:dyDescent="0.35">
      <c r="A435" t="s">
        <v>443</v>
      </c>
      <c r="B435" s="2">
        <v>45967</v>
      </c>
      <c r="C435" t="s">
        <v>544</v>
      </c>
      <c r="D435" t="s">
        <v>614</v>
      </c>
      <c r="E435" t="s">
        <v>621</v>
      </c>
      <c r="F435" t="s">
        <v>626</v>
      </c>
      <c r="G435" s="4">
        <v>5</v>
      </c>
      <c r="H435" s="6">
        <v>0</v>
      </c>
      <c r="I435" s="4">
        <v>40</v>
      </c>
      <c r="J435" s="4">
        <v>12</v>
      </c>
    </row>
    <row r="436" spans="1:10" x14ac:dyDescent="0.35">
      <c r="A436" t="s">
        <v>444</v>
      </c>
      <c r="B436" s="2">
        <v>45967</v>
      </c>
      <c r="C436" t="s">
        <v>591</v>
      </c>
      <c r="D436" t="s">
        <v>613</v>
      </c>
      <c r="E436" t="s">
        <v>620</v>
      </c>
      <c r="F436" t="s">
        <v>624</v>
      </c>
      <c r="G436" s="4">
        <v>2</v>
      </c>
      <c r="H436" s="6">
        <v>0.15</v>
      </c>
      <c r="I436" s="4">
        <v>374</v>
      </c>
      <c r="J436" s="4">
        <v>52.36</v>
      </c>
    </row>
    <row r="437" spans="1:10" x14ac:dyDescent="0.35">
      <c r="A437" t="s">
        <v>445</v>
      </c>
      <c r="B437" s="2">
        <v>45968</v>
      </c>
      <c r="C437" t="s">
        <v>545</v>
      </c>
      <c r="D437" t="s">
        <v>618</v>
      </c>
      <c r="E437" t="s">
        <v>620</v>
      </c>
      <c r="F437" t="s">
        <v>625</v>
      </c>
      <c r="G437" s="4">
        <v>4</v>
      </c>
      <c r="H437" s="6">
        <v>0.05</v>
      </c>
      <c r="I437" s="4">
        <v>95</v>
      </c>
      <c r="J437" s="4">
        <v>21.85</v>
      </c>
    </row>
    <row r="438" spans="1:10" x14ac:dyDescent="0.35">
      <c r="A438" t="s">
        <v>446</v>
      </c>
      <c r="B438" s="2">
        <v>45968</v>
      </c>
      <c r="C438" t="s">
        <v>538</v>
      </c>
      <c r="D438" t="s">
        <v>613</v>
      </c>
      <c r="E438" t="s">
        <v>620</v>
      </c>
      <c r="F438" t="s">
        <v>624</v>
      </c>
      <c r="G438" s="4">
        <v>1</v>
      </c>
      <c r="H438" s="6">
        <v>0</v>
      </c>
      <c r="I438" s="4">
        <v>220</v>
      </c>
      <c r="J438" s="4">
        <v>30.8</v>
      </c>
    </row>
    <row r="439" spans="1:10" x14ac:dyDescent="0.35">
      <c r="A439" t="s">
        <v>447</v>
      </c>
      <c r="B439" s="2">
        <v>45968</v>
      </c>
      <c r="C439" t="s">
        <v>530</v>
      </c>
      <c r="D439" t="s">
        <v>616</v>
      </c>
      <c r="E439" t="s">
        <v>622</v>
      </c>
      <c r="F439" t="s">
        <v>625</v>
      </c>
      <c r="G439" s="4">
        <v>8</v>
      </c>
      <c r="H439" s="6">
        <v>0.1</v>
      </c>
      <c r="I439" s="4">
        <v>1872</v>
      </c>
      <c r="J439" s="4">
        <v>280.8</v>
      </c>
    </row>
    <row r="440" spans="1:10" x14ac:dyDescent="0.35">
      <c r="A440" t="s">
        <v>448</v>
      </c>
      <c r="B440" s="2">
        <v>45969</v>
      </c>
      <c r="C440" t="s">
        <v>598</v>
      </c>
      <c r="D440" t="s">
        <v>612</v>
      </c>
      <c r="E440" t="s">
        <v>621</v>
      </c>
      <c r="F440" t="s">
        <v>624</v>
      </c>
      <c r="G440" s="4">
        <v>6</v>
      </c>
      <c r="H440" s="6">
        <v>0</v>
      </c>
      <c r="I440" s="4">
        <v>72</v>
      </c>
      <c r="J440" s="4">
        <v>20.16</v>
      </c>
    </row>
    <row r="441" spans="1:10" x14ac:dyDescent="0.35">
      <c r="A441" t="s">
        <v>449</v>
      </c>
      <c r="B441" s="2">
        <v>45969</v>
      </c>
      <c r="C441" t="s">
        <v>593</v>
      </c>
      <c r="D441" t="s">
        <v>612</v>
      </c>
      <c r="E441" t="s">
        <v>621</v>
      </c>
      <c r="F441" t="s">
        <v>623</v>
      </c>
      <c r="G441" s="4">
        <v>7</v>
      </c>
      <c r="H441" s="6">
        <v>0</v>
      </c>
      <c r="I441" s="4">
        <v>84</v>
      </c>
      <c r="J441" s="4">
        <v>23.52</v>
      </c>
    </row>
    <row r="442" spans="1:10" x14ac:dyDescent="0.35">
      <c r="A442" t="s">
        <v>450</v>
      </c>
      <c r="B442" s="2">
        <v>45969</v>
      </c>
      <c r="C442" t="s">
        <v>601</v>
      </c>
      <c r="D442" t="s">
        <v>616</v>
      </c>
      <c r="E442" t="s">
        <v>622</v>
      </c>
      <c r="F442" t="s">
        <v>623</v>
      </c>
      <c r="G442" s="4">
        <v>8</v>
      </c>
      <c r="H442" s="6">
        <v>0.05</v>
      </c>
      <c r="I442" s="4">
        <v>1976</v>
      </c>
      <c r="J442" s="4">
        <v>296.39999999999998</v>
      </c>
    </row>
    <row r="443" spans="1:10" x14ac:dyDescent="0.35">
      <c r="A443" t="s">
        <v>451</v>
      </c>
      <c r="B443" s="2">
        <v>45969</v>
      </c>
      <c r="C443" t="s">
        <v>583</v>
      </c>
      <c r="D443" t="s">
        <v>610</v>
      </c>
      <c r="E443" t="s">
        <v>620</v>
      </c>
      <c r="F443" t="s">
        <v>623</v>
      </c>
      <c r="G443" s="4">
        <v>7</v>
      </c>
      <c r="H443" s="6">
        <v>0</v>
      </c>
      <c r="I443" s="4">
        <v>595</v>
      </c>
      <c r="J443" s="4">
        <v>113.05</v>
      </c>
    </row>
    <row r="444" spans="1:10" x14ac:dyDescent="0.35">
      <c r="A444" t="s">
        <v>452</v>
      </c>
      <c r="B444" s="2">
        <v>45969</v>
      </c>
      <c r="C444" t="s">
        <v>556</v>
      </c>
      <c r="D444" t="s">
        <v>613</v>
      </c>
      <c r="E444" t="s">
        <v>620</v>
      </c>
      <c r="F444" t="s">
        <v>625</v>
      </c>
      <c r="G444" s="4">
        <v>2</v>
      </c>
      <c r="H444" s="6">
        <v>0</v>
      </c>
      <c r="I444" s="4">
        <v>440</v>
      </c>
      <c r="J444" s="4">
        <v>61.6</v>
      </c>
    </row>
    <row r="445" spans="1:10" x14ac:dyDescent="0.35">
      <c r="A445" t="s">
        <v>453</v>
      </c>
      <c r="B445" s="2">
        <v>45970</v>
      </c>
      <c r="C445" t="s">
        <v>558</v>
      </c>
      <c r="D445" t="s">
        <v>618</v>
      </c>
      <c r="E445" t="s">
        <v>620</v>
      </c>
      <c r="F445" t="s">
        <v>623</v>
      </c>
      <c r="G445" s="4">
        <v>4</v>
      </c>
      <c r="H445" s="6">
        <v>0</v>
      </c>
      <c r="I445" s="4">
        <v>100</v>
      </c>
      <c r="J445" s="4">
        <v>23</v>
      </c>
    </row>
    <row r="446" spans="1:10" x14ac:dyDescent="0.35">
      <c r="A446" t="s">
        <v>454</v>
      </c>
      <c r="B446" s="2">
        <v>45970</v>
      </c>
      <c r="C446" t="s">
        <v>577</v>
      </c>
      <c r="D446" t="s">
        <v>611</v>
      </c>
      <c r="E446" t="s">
        <v>620</v>
      </c>
      <c r="F446" t="s">
        <v>626</v>
      </c>
      <c r="G446" s="4">
        <v>8</v>
      </c>
      <c r="H446" s="6">
        <v>0</v>
      </c>
      <c r="I446" s="4">
        <v>5200</v>
      </c>
      <c r="J446" s="4">
        <v>832</v>
      </c>
    </row>
    <row r="447" spans="1:10" x14ac:dyDescent="0.35">
      <c r="A447" t="s">
        <v>455</v>
      </c>
      <c r="B447" s="2">
        <v>45970</v>
      </c>
      <c r="C447" t="s">
        <v>597</v>
      </c>
      <c r="D447" t="s">
        <v>615</v>
      </c>
      <c r="E447" t="s">
        <v>622</v>
      </c>
      <c r="F447" t="s">
        <v>623</v>
      </c>
      <c r="G447" s="4">
        <v>6</v>
      </c>
      <c r="H447" s="6">
        <v>0</v>
      </c>
      <c r="I447" s="4">
        <v>1080</v>
      </c>
      <c r="J447" s="4">
        <v>194.4</v>
      </c>
    </row>
    <row r="448" spans="1:10" x14ac:dyDescent="0.35">
      <c r="A448" t="s">
        <v>456</v>
      </c>
      <c r="B448" s="2">
        <v>45970</v>
      </c>
      <c r="C448" t="s">
        <v>599</v>
      </c>
      <c r="D448" t="s">
        <v>618</v>
      </c>
      <c r="E448" t="s">
        <v>620</v>
      </c>
      <c r="F448" t="s">
        <v>626</v>
      </c>
      <c r="G448" s="4">
        <v>7</v>
      </c>
      <c r="H448" s="6">
        <v>0</v>
      </c>
      <c r="I448" s="4">
        <v>175</v>
      </c>
      <c r="J448" s="4">
        <v>40.25</v>
      </c>
    </row>
    <row r="449" spans="1:10" x14ac:dyDescent="0.35">
      <c r="A449" t="s">
        <v>457</v>
      </c>
      <c r="B449" s="2">
        <v>45971</v>
      </c>
      <c r="C449" t="s">
        <v>524</v>
      </c>
      <c r="D449" t="s">
        <v>611</v>
      </c>
      <c r="E449" t="s">
        <v>620</v>
      </c>
      <c r="F449" t="s">
        <v>625</v>
      </c>
      <c r="G449" s="4">
        <v>4</v>
      </c>
      <c r="H449" s="6">
        <v>0</v>
      </c>
      <c r="I449" s="4">
        <v>2600</v>
      </c>
      <c r="J449" s="4">
        <v>416</v>
      </c>
    </row>
    <row r="450" spans="1:10" x14ac:dyDescent="0.35">
      <c r="A450" t="s">
        <v>458</v>
      </c>
      <c r="B450" s="2">
        <v>45971</v>
      </c>
      <c r="C450" t="s">
        <v>573</v>
      </c>
      <c r="D450" t="s">
        <v>612</v>
      </c>
      <c r="E450" t="s">
        <v>621</v>
      </c>
      <c r="F450" t="s">
        <v>623</v>
      </c>
      <c r="G450" s="4">
        <v>4</v>
      </c>
      <c r="H450" s="6">
        <v>0.1</v>
      </c>
      <c r="I450" s="4">
        <v>43.2</v>
      </c>
      <c r="J450" s="4">
        <v>12.1</v>
      </c>
    </row>
    <row r="451" spans="1:10" x14ac:dyDescent="0.35">
      <c r="A451" t="s">
        <v>459</v>
      </c>
      <c r="B451" s="2">
        <v>45971</v>
      </c>
      <c r="C451" t="s">
        <v>558</v>
      </c>
      <c r="D451" t="s">
        <v>615</v>
      </c>
      <c r="E451" t="s">
        <v>622</v>
      </c>
      <c r="F451" t="s">
        <v>625</v>
      </c>
      <c r="G451" s="4">
        <v>6</v>
      </c>
      <c r="H451" s="6">
        <v>0</v>
      </c>
      <c r="I451" s="4">
        <v>1080</v>
      </c>
      <c r="J451" s="4">
        <v>194.4</v>
      </c>
    </row>
    <row r="452" spans="1:10" x14ac:dyDescent="0.35">
      <c r="A452" t="s">
        <v>460</v>
      </c>
      <c r="B452" s="2">
        <v>45973</v>
      </c>
      <c r="C452" t="s">
        <v>559</v>
      </c>
      <c r="D452" t="s">
        <v>616</v>
      </c>
      <c r="E452" t="s">
        <v>622</v>
      </c>
      <c r="F452" t="s">
        <v>625</v>
      </c>
      <c r="G452" s="4">
        <v>8</v>
      </c>
      <c r="H452" s="6">
        <v>0</v>
      </c>
      <c r="I452" s="4">
        <v>2080</v>
      </c>
      <c r="J452" s="4">
        <v>312</v>
      </c>
    </row>
    <row r="453" spans="1:10" x14ac:dyDescent="0.35">
      <c r="A453" t="s">
        <v>461</v>
      </c>
      <c r="B453" s="2">
        <v>45973</v>
      </c>
      <c r="C453" t="s">
        <v>511</v>
      </c>
      <c r="D453" t="s">
        <v>614</v>
      </c>
      <c r="E453" t="s">
        <v>621</v>
      </c>
      <c r="F453" t="s">
        <v>626</v>
      </c>
      <c r="G453" s="4">
        <v>5</v>
      </c>
      <c r="H453" s="6">
        <v>0.1</v>
      </c>
      <c r="I453" s="4">
        <v>36</v>
      </c>
      <c r="J453" s="4">
        <v>10.8</v>
      </c>
    </row>
    <row r="454" spans="1:10" x14ac:dyDescent="0.35">
      <c r="A454" t="s">
        <v>462</v>
      </c>
      <c r="B454" s="2">
        <v>45973</v>
      </c>
      <c r="C454" t="s">
        <v>589</v>
      </c>
      <c r="D454" t="s">
        <v>615</v>
      </c>
      <c r="E454" t="s">
        <v>622</v>
      </c>
      <c r="F454" t="s">
        <v>625</v>
      </c>
      <c r="G454" s="4">
        <v>1</v>
      </c>
      <c r="H454" s="6">
        <v>0</v>
      </c>
      <c r="I454" s="4">
        <v>180</v>
      </c>
      <c r="J454" s="4">
        <v>32.4</v>
      </c>
    </row>
    <row r="455" spans="1:10" x14ac:dyDescent="0.35">
      <c r="A455" t="s">
        <v>463</v>
      </c>
      <c r="B455" s="2">
        <v>45973</v>
      </c>
      <c r="C455" t="s">
        <v>512</v>
      </c>
      <c r="D455" t="s">
        <v>615</v>
      </c>
      <c r="E455" t="s">
        <v>622</v>
      </c>
      <c r="F455" t="s">
        <v>624</v>
      </c>
      <c r="G455" s="4">
        <v>2</v>
      </c>
      <c r="H455" s="6">
        <v>0</v>
      </c>
      <c r="I455" s="4">
        <v>360</v>
      </c>
      <c r="J455" s="4">
        <v>64.8</v>
      </c>
    </row>
    <row r="456" spans="1:10" x14ac:dyDescent="0.35">
      <c r="A456" t="s">
        <v>464</v>
      </c>
      <c r="B456" s="2">
        <v>45974</v>
      </c>
      <c r="C456" t="s">
        <v>542</v>
      </c>
      <c r="D456" t="s">
        <v>611</v>
      </c>
      <c r="E456" t="s">
        <v>620</v>
      </c>
      <c r="F456" t="s">
        <v>626</v>
      </c>
      <c r="G456" s="4">
        <v>4</v>
      </c>
      <c r="H456" s="6">
        <v>0.05</v>
      </c>
      <c r="I456" s="4">
        <v>2470</v>
      </c>
      <c r="J456" s="4">
        <v>395.2</v>
      </c>
    </row>
    <row r="457" spans="1:10" x14ac:dyDescent="0.35">
      <c r="A457" t="s">
        <v>465</v>
      </c>
      <c r="B457" s="2">
        <v>45976</v>
      </c>
      <c r="C457" t="s">
        <v>590</v>
      </c>
      <c r="D457" t="s">
        <v>612</v>
      </c>
      <c r="E457" t="s">
        <v>621</v>
      </c>
      <c r="F457" t="s">
        <v>625</v>
      </c>
      <c r="G457" s="4">
        <v>8</v>
      </c>
      <c r="H457" s="6">
        <v>0</v>
      </c>
      <c r="I457" s="4">
        <v>96</v>
      </c>
      <c r="J457" s="4">
        <v>26.88</v>
      </c>
    </row>
    <row r="458" spans="1:10" x14ac:dyDescent="0.35">
      <c r="A458" t="s">
        <v>466</v>
      </c>
      <c r="B458" s="2">
        <v>45977</v>
      </c>
      <c r="C458" t="s">
        <v>553</v>
      </c>
      <c r="D458" t="s">
        <v>611</v>
      </c>
      <c r="E458" t="s">
        <v>620</v>
      </c>
      <c r="F458" t="s">
        <v>625</v>
      </c>
      <c r="G458" s="4">
        <v>8</v>
      </c>
      <c r="H458" s="6">
        <v>0.1</v>
      </c>
      <c r="I458" s="4">
        <v>4680</v>
      </c>
      <c r="J458" s="4">
        <v>748.8</v>
      </c>
    </row>
    <row r="459" spans="1:10" x14ac:dyDescent="0.35">
      <c r="A459" t="s">
        <v>467</v>
      </c>
      <c r="B459" s="2">
        <v>45978</v>
      </c>
      <c r="C459" t="s">
        <v>561</v>
      </c>
      <c r="D459" t="s">
        <v>613</v>
      </c>
      <c r="E459" t="s">
        <v>620</v>
      </c>
      <c r="F459" t="s">
        <v>624</v>
      </c>
      <c r="G459" s="4">
        <v>4</v>
      </c>
      <c r="H459" s="6">
        <v>0.05</v>
      </c>
      <c r="I459" s="4">
        <v>836</v>
      </c>
      <c r="J459" s="4">
        <v>117.04</v>
      </c>
    </row>
    <row r="460" spans="1:10" x14ac:dyDescent="0.35">
      <c r="A460" t="s">
        <v>468</v>
      </c>
      <c r="B460" s="2">
        <v>45980</v>
      </c>
      <c r="C460" t="s">
        <v>529</v>
      </c>
      <c r="D460" t="s">
        <v>617</v>
      </c>
      <c r="E460" t="s">
        <v>620</v>
      </c>
      <c r="F460" t="s">
        <v>626</v>
      </c>
      <c r="G460" s="4">
        <v>2</v>
      </c>
      <c r="H460" s="6">
        <v>0.05</v>
      </c>
      <c r="I460" s="4">
        <v>85.5</v>
      </c>
      <c r="J460" s="4">
        <v>17.100000000000001</v>
      </c>
    </row>
    <row r="461" spans="1:10" x14ac:dyDescent="0.35">
      <c r="A461" t="s">
        <v>469</v>
      </c>
      <c r="B461" s="2">
        <v>45980</v>
      </c>
      <c r="C461" t="s">
        <v>580</v>
      </c>
      <c r="D461" t="s">
        <v>616</v>
      </c>
      <c r="E461" t="s">
        <v>622</v>
      </c>
      <c r="F461" t="s">
        <v>623</v>
      </c>
      <c r="G461" s="4">
        <v>4</v>
      </c>
      <c r="H461" s="6">
        <v>0.05</v>
      </c>
      <c r="I461" s="4">
        <v>988</v>
      </c>
      <c r="J461" s="4">
        <v>148.19999999999999</v>
      </c>
    </row>
    <row r="462" spans="1:10" x14ac:dyDescent="0.35">
      <c r="A462" t="s">
        <v>470</v>
      </c>
      <c r="B462" s="2">
        <v>45981</v>
      </c>
      <c r="C462" t="s">
        <v>535</v>
      </c>
      <c r="D462" t="s">
        <v>617</v>
      </c>
      <c r="E462" t="s">
        <v>620</v>
      </c>
      <c r="F462" t="s">
        <v>623</v>
      </c>
      <c r="G462" s="4">
        <v>7</v>
      </c>
      <c r="H462" s="6">
        <v>0</v>
      </c>
      <c r="I462" s="4">
        <v>315</v>
      </c>
      <c r="J462" s="4">
        <v>63</v>
      </c>
    </row>
    <row r="463" spans="1:10" x14ac:dyDescent="0.35">
      <c r="A463" t="s">
        <v>471</v>
      </c>
      <c r="B463" s="2">
        <v>45982</v>
      </c>
      <c r="C463" t="s">
        <v>548</v>
      </c>
      <c r="D463" t="s">
        <v>618</v>
      </c>
      <c r="E463" t="s">
        <v>620</v>
      </c>
      <c r="F463" t="s">
        <v>623</v>
      </c>
      <c r="G463" s="4">
        <v>8</v>
      </c>
      <c r="H463" s="6">
        <v>0.15</v>
      </c>
      <c r="I463" s="4">
        <v>170</v>
      </c>
      <c r="J463" s="4">
        <v>39.1</v>
      </c>
    </row>
    <row r="464" spans="1:10" x14ac:dyDescent="0.35">
      <c r="A464" t="s">
        <v>472</v>
      </c>
      <c r="B464" s="2">
        <v>45983</v>
      </c>
      <c r="C464" t="s">
        <v>556</v>
      </c>
      <c r="D464" t="s">
        <v>614</v>
      </c>
      <c r="E464" t="s">
        <v>621</v>
      </c>
      <c r="F464" t="s">
        <v>623</v>
      </c>
      <c r="G464" s="4">
        <v>5</v>
      </c>
      <c r="H464" s="6">
        <v>0</v>
      </c>
      <c r="I464" s="4">
        <v>40</v>
      </c>
      <c r="J464" s="4">
        <v>12</v>
      </c>
    </row>
    <row r="465" spans="1:10" x14ac:dyDescent="0.35">
      <c r="A465" t="s">
        <v>473</v>
      </c>
      <c r="B465" s="2">
        <v>45983</v>
      </c>
      <c r="C465" t="s">
        <v>560</v>
      </c>
      <c r="D465" t="s">
        <v>617</v>
      </c>
      <c r="E465" t="s">
        <v>620</v>
      </c>
      <c r="F465" t="s">
        <v>625</v>
      </c>
      <c r="G465" s="4">
        <v>6</v>
      </c>
      <c r="H465" s="6">
        <v>0</v>
      </c>
      <c r="I465" s="4">
        <v>270</v>
      </c>
      <c r="J465" s="4">
        <v>54</v>
      </c>
    </row>
    <row r="466" spans="1:10" x14ac:dyDescent="0.35">
      <c r="A466" t="s">
        <v>474</v>
      </c>
      <c r="B466" s="2">
        <v>45984</v>
      </c>
      <c r="C466" t="s">
        <v>527</v>
      </c>
      <c r="D466" t="s">
        <v>609</v>
      </c>
      <c r="E466" t="s">
        <v>619</v>
      </c>
      <c r="F466" t="s">
        <v>623</v>
      </c>
      <c r="G466" s="4">
        <v>1</v>
      </c>
      <c r="H466" s="6">
        <v>0</v>
      </c>
      <c r="I466" s="4">
        <v>55</v>
      </c>
      <c r="J466" s="4">
        <v>12.1</v>
      </c>
    </row>
    <row r="467" spans="1:10" x14ac:dyDescent="0.35">
      <c r="A467" t="s">
        <v>475</v>
      </c>
      <c r="B467" s="2">
        <v>45984</v>
      </c>
      <c r="C467" t="s">
        <v>599</v>
      </c>
      <c r="D467" t="s">
        <v>611</v>
      </c>
      <c r="E467" t="s">
        <v>620</v>
      </c>
      <c r="F467" t="s">
        <v>623</v>
      </c>
      <c r="G467" s="4">
        <v>7</v>
      </c>
      <c r="H467" s="6">
        <v>0.05</v>
      </c>
      <c r="I467" s="4">
        <v>4322.5</v>
      </c>
      <c r="J467" s="4">
        <v>691.6</v>
      </c>
    </row>
    <row r="468" spans="1:10" x14ac:dyDescent="0.35">
      <c r="A468" t="s">
        <v>476</v>
      </c>
      <c r="B468" s="2">
        <v>45985</v>
      </c>
      <c r="C468" t="s">
        <v>522</v>
      </c>
      <c r="D468" t="s">
        <v>611</v>
      </c>
      <c r="E468" t="s">
        <v>620</v>
      </c>
      <c r="F468" t="s">
        <v>623</v>
      </c>
      <c r="G468" s="4">
        <v>4</v>
      </c>
      <c r="H468" s="6">
        <v>0.1</v>
      </c>
      <c r="I468" s="4">
        <v>2340</v>
      </c>
      <c r="J468" s="4">
        <v>374.4</v>
      </c>
    </row>
    <row r="469" spans="1:10" x14ac:dyDescent="0.35">
      <c r="A469" t="s">
        <v>477</v>
      </c>
      <c r="B469" s="2">
        <v>45987</v>
      </c>
      <c r="C469" t="s">
        <v>602</v>
      </c>
      <c r="D469" t="s">
        <v>618</v>
      </c>
      <c r="E469" t="s">
        <v>620</v>
      </c>
      <c r="F469" t="s">
        <v>623</v>
      </c>
      <c r="G469" s="4">
        <v>8</v>
      </c>
      <c r="H469" s="6">
        <v>0</v>
      </c>
      <c r="I469" s="4">
        <v>200</v>
      </c>
      <c r="J469" s="4">
        <v>46</v>
      </c>
    </row>
    <row r="470" spans="1:10" x14ac:dyDescent="0.35">
      <c r="A470" t="s">
        <v>478</v>
      </c>
      <c r="B470" s="2">
        <v>45988</v>
      </c>
      <c r="C470" t="s">
        <v>608</v>
      </c>
      <c r="D470" t="s">
        <v>610</v>
      </c>
      <c r="E470" t="s">
        <v>620</v>
      </c>
      <c r="F470" t="s">
        <v>624</v>
      </c>
      <c r="G470" s="4">
        <v>1</v>
      </c>
      <c r="H470" s="6">
        <v>0</v>
      </c>
      <c r="I470" s="4">
        <v>85</v>
      </c>
      <c r="J470" s="4">
        <v>16.149999999999999</v>
      </c>
    </row>
    <row r="471" spans="1:10" x14ac:dyDescent="0.35">
      <c r="A471" t="s">
        <v>479</v>
      </c>
      <c r="B471" s="2">
        <v>45988</v>
      </c>
      <c r="C471" t="s">
        <v>530</v>
      </c>
      <c r="D471" t="s">
        <v>615</v>
      </c>
      <c r="E471" t="s">
        <v>622</v>
      </c>
      <c r="F471" t="s">
        <v>626</v>
      </c>
      <c r="G471" s="4">
        <v>6</v>
      </c>
      <c r="H471" s="6">
        <v>0</v>
      </c>
      <c r="I471" s="4">
        <v>1080</v>
      </c>
      <c r="J471" s="4">
        <v>194.4</v>
      </c>
    </row>
    <row r="472" spans="1:10" x14ac:dyDescent="0.35">
      <c r="A472" t="s">
        <v>480</v>
      </c>
      <c r="B472" s="2">
        <v>45989</v>
      </c>
      <c r="C472" t="s">
        <v>574</v>
      </c>
      <c r="D472" t="s">
        <v>611</v>
      </c>
      <c r="E472" t="s">
        <v>620</v>
      </c>
      <c r="F472" t="s">
        <v>623</v>
      </c>
      <c r="G472" s="4">
        <v>7</v>
      </c>
      <c r="H472" s="6">
        <v>0.15</v>
      </c>
      <c r="I472" s="4">
        <v>3867.5</v>
      </c>
      <c r="J472" s="4">
        <v>618.79999999999995</v>
      </c>
    </row>
    <row r="473" spans="1:10" x14ac:dyDescent="0.35">
      <c r="A473" t="s">
        <v>481</v>
      </c>
      <c r="B473" s="2">
        <v>45993</v>
      </c>
      <c r="C473" t="s">
        <v>608</v>
      </c>
      <c r="D473" t="s">
        <v>611</v>
      </c>
      <c r="E473" t="s">
        <v>620</v>
      </c>
      <c r="F473" t="s">
        <v>625</v>
      </c>
      <c r="G473" s="4">
        <v>6</v>
      </c>
      <c r="H473" s="6">
        <v>0</v>
      </c>
      <c r="I473" s="4">
        <v>3900</v>
      </c>
      <c r="J473" s="4">
        <v>624</v>
      </c>
    </row>
    <row r="474" spans="1:10" x14ac:dyDescent="0.35">
      <c r="A474" t="s">
        <v>482</v>
      </c>
      <c r="B474" s="2">
        <v>45993</v>
      </c>
      <c r="C474" t="s">
        <v>537</v>
      </c>
      <c r="D474" t="s">
        <v>612</v>
      </c>
      <c r="E474" t="s">
        <v>621</v>
      </c>
      <c r="F474" t="s">
        <v>624</v>
      </c>
      <c r="G474" s="4">
        <v>3</v>
      </c>
      <c r="H474" s="6">
        <v>0</v>
      </c>
      <c r="I474" s="4">
        <v>36</v>
      </c>
      <c r="J474" s="4">
        <v>10.08</v>
      </c>
    </row>
    <row r="475" spans="1:10" x14ac:dyDescent="0.35">
      <c r="A475" t="s">
        <v>483</v>
      </c>
      <c r="B475" s="2">
        <v>45995</v>
      </c>
      <c r="C475" t="s">
        <v>599</v>
      </c>
      <c r="D475" t="s">
        <v>616</v>
      </c>
      <c r="E475" t="s">
        <v>622</v>
      </c>
      <c r="F475" t="s">
        <v>623</v>
      </c>
      <c r="G475" s="4">
        <v>5</v>
      </c>
      <c r="H475" s="6">
        <v>0</v>
      </c>
      <c r="I475" s="4">
        <v>1300</v>
      </c>
      <c r="J475" s="4">
        <v>195</v>
      </c>
    </row>
    <row r="476" spans="1:10" x14ac:dyDescent="0.35">
      <c r="A476" t="s">
        <v>484</v>
      </c>
      <c r="B476" s="2">
        <v>45996</v>
      </c>
      <c r="C476" t="s">
        <v>515</v>
      </c>
      <c r="D476" t="s">
        <v>616</v>
      </c>
      <c r="E476" t="s">
        <v>622</v>
      </c>
      <c r="F476" t="s">
        <v>626</v>
      </c>
      <c r="G476" s="4">
        <v>6</v>
      </c>
      <c r="H476" s="6">
        <v>0.1</v>
      </c>
      <c r="I476" s="4">
        <v>1404</v>
      </c>
      <c r="J476" s="4">
        <v>210.6</v>
      </c>
    </row>
    <row r="477" spans="1:10" x14ac:dyDescent="0.35">
      <c r="A477" t="s">
        <v>485</v>
      </c>
      <c r="B477" s="2">
        <v>45998</v>
      </c>
      <c r="C477" t="s">
        <v>605</v>
      </c>
      <c r="D477" t="s">
        <v>618</v>
      </c>
      <c r="E477" t="s">
        <v>620</v>
      </c>
      <c r="F477" t="s">
        <v>624</v>
      </c>
      <c r="G477" s="4">
        <v>2</v>
      </c>
      <c r="H477" s="6">
        <v>0</v>
      </c>
      <c r="I477" s="4">
        <v>50</v>
      </c>
      <c r="J477" s="4">
        <v>11.5</v>
      </c>
    </row>
    <row r="478" spans="1:10" x14ac:dyDescent="0.35">
      <c r="A478" t="s">
        <v>486</v>
      </c>
      <c r="B478" s="2">
        <v>45999</v>
      </c>
      <c r="C478" t="s">
        <v>514</v>
      </c>
      <c r="D478" t="s">
        <v>617</v>
      </c>
      <c r="E478" t="s">
        <v>620</v>
      </c>
      <c r="F478" t="s">
        <v>626</v>
      </c>
      <c r="G478" s="4">
        <v>4</v>
      </c>
      <c r="H478" s="6">
        <v>0</v>
      </c>
      <c r="I478" s="4">
        <v>180</v>
      </c>
      <c r="J478" s="4">
        <v>36</v>
      </c>
    </row>
    <row r="479" spans="1:10" x14ac:dyDescent="0.35">
      <c r="A479" t="s">
        <v>487</v>
      </c>
      <c r="B479" s="2">
        <v>46000</v>
      </c>
      <c r="C479" t="s">
        <v>599</v>
      </c>
      <c r="D479" t="s">
        <v>611</v>
      </c>
      <c r="E479" t="s">
        <v>620</v>
      </c>
      <c r="F479" t="s">
        <v>626</v>
      </c>
      <c r="G479" s="4">
        <v>4</v>
      </c>
      <c r="H479" s="6">
        <v>0</v>
      </c>
      <c r="I479" s="4">
        <v>2600</v>
      </c>
      <c r="J479" s="4">
        <v>416</v>
      </c>
    </row>
    <row r="480" spans="1:10" x14ac:dyDescent="0.35">
      <c r="A480" t="s">
        <v>488</v>
      </c>
      <c r="B480" s="2">
        <v>46003</v>
      </c>
      <c r="C480" t="s">
        <v>538</v>
      </c>
      <c r="D480" t="s">
        <v>618</v>
      </c>
      <c r="E480" t="s">
        <v>620</v>
      </c>
      <c r="F480" t="s">
        <v>623</v>
      </c>
      <c r="G480" s="4">
        <v>7</v>
      </c>
      <c r="H480" s="6">
        <v>0.15</v>
      </c>
      <c r="I480" s="4">
        <v>148.75</v>
      </c>
      <c r="J480" s="4">
        <v>34.21</v>
      </c>
    </row>
    <row r="481" spans="1:10" x14ac:dyDescent="0.35">
      <c r="A481" t="s">
        <v>489</v>
      </c>
      <c r="B481" s="2">
        <v>46004</v>
      </c>
      <c r="C481" t="s">
        <v>564</v>
      </c>
      <c r="D481" t="s">
        <v>613</v>
      </c>
      <c r="E481" t="s">
        <v>620</v>
      </c>
      <c r="F481" t="s">
        <v>623</v>
      </c>
      <c r="G481" s="4">
        <v>3</v>
      </c>
      <c r="H481" s="6">
        <v>0</v>
      </c>
      <c r="I481" s="4">
        <v>660</v>
      </c>
      <c r="J481" s="4">
        <v>92.4</v>
      </c>
    </row>
    <row r="482" spans="1:10" x14ac:dyDescent="0.35">
      <c r="A482" t="s">
        <v>490</v>
      </c>
      <c r="B482" s="2">
        <v>46004</v>
      </c>
      <c r="C482" t="s">
        <v>541</v>
      </c>
      <c r="D482" t="s">
        <v>611</v>
      </c>
      <c r="E482" t="s">
        <v>620</v>
      </c>
      <c r="F482" t="s">
        <v>623</v>
      </c>
      <c r="G482" s="4">
        <v>2</v>
      </c>
      <c r="H482" s="6">
        <v>0</v>
      </c>
      <c r="I482" s="4">
        <v>1300</v>
      </c>
      <c r="J482" s="4">
        <v>208</v>
      </c>
    </row>
    <row r="483" spans="1:10" x14ac:dyDescent="0.35">
      <c r="A483" t="s">
        <v>491</v>
      </c>
      <c r="B483" s="2">
        <v>46006</v>
      </c>
      <c r="C483" t="s">
        <v>578</v>
      </c>
      <c r="D483" t="s">
        <v>612</v>
      </c>
      <c r="E483" t="s">
        <v>621</v>
      </c>
      <c r="F483" t="s">
        <v>624</v>
      </c>
      <c r="G483" s="4">
        <v>4</v>
      </c>
      <c r="H483" s="6">
        <v>0.05</v>
      </c>
      <c r="I483" s="4">
        <v>45.6</v>
      </c>
      <c r="J483" s="4">
        <v>12.77</v>
      </c>
    </row>
    <row r="484" spans="1:10" x14ac:dyDescent="0.35">
      <c r="A484" t="s">
        <v>492</v>
      </c>
      <c r="B484" s="2">
        <v>46006</v>
      </c>
      <c r="C484" t="s">
        <v>531</v>
      </c>
      <c r="D484" t="s">
        <v>611</v>
      </c>
      <c r="E484" t="s">
        <v>620</v>
      </c>
      <c r="F484" t="s">
        <v>625</v>
      </c>
      <c r="G484" s="4">
        <v>4</v>
      </c>
      <c r="H484" s="6">
        <v>0.05</v>
      </c>
      <c r="I484" s="4">
        <v>2470</v>
      </c>
      <c r="J484" s="4">
        <v>395.2</v>
      </c>
    </row>
    <row r="485" spans="1:10" x14ac:dyDescent="0.35">
      <c r="A485" t="s">
        <v>493</v>
      </c>
      <c r="B485" s="2">
        <v>46006</v>
      </c>
      <c r="C485" t="s">
        <v>515</v>
      </c>
      <c r="D485" t="s">
        <v>613</v>
      </c>
      <c r="E485" t="s">
        <v>620</v>
      </c>
      <c r="F485" t="s">
        <v>626</v>
      </c>
      <c r="G485" s="4">
        <v>7</v>
      </c>
      <c r="H485" s="6">
        <v>0.05</v>
      </c>
      <c r="I485" s="4">
        <v>1463</v>
      </c>
      <c r="J485" s="4">
        <v>204.82</v>
      </c>
    </row>
    <row r="486" spans="1:10" x14ac:dyDescent="0.35">
      <c r="A486" t="s">
        <v>494</v>
      </c>
      <c r="B486" s="2">
        <v>46007</v>
      </c>
      <c r="C486" t="s">
        <v>581</v>
      </c>
      <c r="D486" t="s">
        <v>618</v>
      </c>
      <c r="E486" t="s">
        <v>620</v>
      </c>
      <c r="F486" t="s">
        <v>623</v>
      </c>
      <c r="G486" s="4">
        <v>4</v>
      </c>
      <c r="H486" s="6">
        <v>0</v>
      </c>
      <c r="I486" s="4">
        <v>100</v>
      </c>
      <c r="J486" s="4">
        <v>23</v>
      </c>
    </row>
    <row r="487" spans="1:10" x14ac:dyDescent="0.35">
      <c r="A487" t="s">
        <v>495</v>
      </c>
      <c r="B487" s="2">
        <v>46009</v>
      </c>
      <c r="C487" t="s">
        <v>556</v>
      </c>
      <c r="D487" t="s">
        <v>609</v>
      </c>
      <c r="E487" t="s">
        <v>619</v>
      </c>
      <c r="F487" t="s">
        <v>625</v>
      </c>
      <c r="G487" s="4">
        <v>5</v>
      </c>
      <c r="H487" s="6">
        <v>0.15</v>
      </c>
      <c r="I487" s="4">
        <v>233.75</v>
      </c>
      <c r="J487" s="4">
        <v>51.42</v>
      </c>
    </row>
    <row r="488" spans="1:10" x14ac:dyDescent="0.35">
      <c r="A488" t="s">
        <v>496</v>
      </c>
      <c r="B488" s="2">
        <v>46010</v>
      </c>
      <c r="C488" t="s">
        <v>571</v>
      </c>
      <c r="D488" t="s">
        <v>613</v>
      </c>
      <c r="E488" t="s">
        <v>620</v>
      </c>
      <c r="F488" t="s">
        <v>625</v>
      </c>
      <c r="G488" s="4">
        <v>4</v>
      </c>
      <c r="H488" s="6">
        <v>0</v>
      </c>
      <c r="I488" s="4">
        <v>880</v>
      </c>
      <c r="J488" s="4">
        <v>123.2</v>
      </c>
    </row>
    <row r="489" spans="1:10" x14ac:dyDescent="0.35">
      <c r="A489" t="s">
        <v>497</v>
      </c>
      <c r="B489" s="2">
        <v>46010</v>
      </c>
      <c r="C489" t="s">
        <v>559</v>
      </c>
      <c r="D489" t="s">
        <v>616</v>
      </c>
      <c r="E489" t="s">
        <v>622</v>
      </c>
      <c r="F489" t="s">
        <v>626</v>
      </c>
      <c r="G489" s="4">
        <v>5</v>
      </c>
      <c r="H489" s="6">
        <v>0</v>
      </c>
      <c r="I489" s="4">
        <v>1300</v>
      </c>
      <c r="J489" s="4">
        <v>195</v>
      </c>
    </row>
    <row r="490" spans="1:10" x14ac:dyDescent="0.35">
      <c r="A490" t="s">
        <v>498</v>
      </c>
      <c r="B490" s="2">
        <v>46012</v>
      </c>
      <c r="C490" t="s">
        <v>549</v>
      </c>
      <c r="D490" t="s">
        <v>618</v>
      </c>
      <c r="E490" t="s">
        <v>620</v>
      </c>
      <c r="F490" t="s">
        <v>626</v>
      </c>
      <c r="G490" s="4">
        <v>3</v>
      </c>
      <c r="H490" s="6">
        <v>0.05</v>
      </c>
      <c r="I490" s="4">
        <v>71.25</v>
      </c>
      <c r="J490" s="4">
        <v>16.39</v>
      </c>
    </row>
    <row r="491" spans="1:10" x14ac:dyDescent="0.35">
      <c r="A491" t="s">
        <v>499</v>
      </c>
      <c r="B491" s="2">
        <v>46013</v>
      </c>
      <c r="C491" t="s">
        <v>542</v>
      </c>
      <c r="D491" t="s">
        <v>614</v>
      </c>
      <c r="E491" t="s">
        <v>621</v>
      </c>
      <c r="F491" t="s">
        <v>626</v>
      </c>
      <c r="G491" s="4">
        <v>5</v>
      </c>
      <c r="H491" s="6">
        <v>0</v>
      </c>
      <c r="I491" s="4">
        <v>40</v>
      </c>
      <c r="J491" s="4">
        <v>12</v>
      </c>
    </row>
    <row r="492" spans="1:10" x14ac:dyDescent="0.35">
      <c r="A492" t="s">
        <v>500</v>
      </c>
      <c r="B492" s="2">
        <v>46016</v>
      </c>
      <c r="C492" t="s">
        <v>556</v>
      </c>
      <c r="D492" t="s">
        <v>610</v>
      </c>
      <c r="E492" t="s">
        <v>620</v>
      </c>
      <c r="F492" t="s">
        <v>626</v>
      </c>
      <c r="G492" s="4">
        <v>2</v>
      </c>
      <c r="H492" s="6">
        <v>0.05</v>
      </c>
      <c r="I492" s="4">
        <v>161.5</v>
      </c>
      <c r="J492" s="4">
        <v>30.68</v>
      </c>
    </row>
    <row r="493" spans="1:10" x14ac:dyDescent="0.35">
      <c r="A493" t="s">
        <v>501</v>
      </c>
      <c r="B493" s="2">
        <v>46017</v>
      </c>
      <c r="C493" t="s">
        <v>561</v>
      </c>
      <c r="D493" t="s">
        <v>609</v>
      </c>
      <c r="E493" t="s">
        <v>619</v>
      </c>
      <c r="F493" t="s">
        <v>623</v>
      </c>
      <c r="G493" s="4">
        <v>8</v>
      </c>
      <c r="H493" s="6">
        <v>0</v>
      </c>
      <c r="I493" s="4">
        <v>440</v>
      </c>
      <c r="J493" s="4">
        <v>96.8</v>
      </c>
    </row>
    <row r="494" spans="1:10" x14ac:dyDescent="0.35">
      <c r="A494" t="s">
        <v>502</v>
      </c>
      <c r="B494" s="2">
        <v>46017</v>
      </c>
      <c r="C494" t="s">
        <v>540</v>
      </c>
      <c r="D494" t="s">
        <v>610</v>
      </c>
      <c r="E494" t="s">
        <v>620</v>
      </c>
      <c r="F494" t="s">
        <v>624</v>
      </c>
      <c r="G494" s="4">
        <v>1</v>
      </c>
      <c r="H494" s="6">
        <v>0.05</v>
      </c>
      <c r="I494" s="4">
        <v>80.75</v>
      </c>
      <c r="J494" s="4">
        <v>15.34</v>
      </c>
    </row>
    <row r="495" spans="1:10" x14ac:dyDescent="0.35">
      <c r="A495" t="s">
        <v>503</v>
      </c>
      <c r="B495" s="2">
        <v>46018</v>
      </c>
      <c r="C495" t="s">
        <v>562</v>
      </c>
      <c r="D495" t="s">
        <v>611</v>
      </c>
      <c r="E495" t="s">
        <v>620</v>
      </c>
      <c r="F495" t="s">
        <v>623</v>
      </c>
      <c r="G495" s="4">
        <v>4</v>
      </c>
      <c r="H495" s="6">
        <v>0</v>
      </c>
      <c r="I495" s="4">
        <v>2600</v>
      </c>
      <c r="J495" s="4">
        <v>416</v>
      </c>
    </row>
    <row r="496" spans="1:10" x14ac:dyDescent="0.35">
      <c r="A496" t="s">
        <v>504</v>
      </c>
      <c r="B496" s="2">
        <v>46018</v>
      </c>
      <c r="C496" t="s">
        <v>570</v>
      </c>
      <c r="D496" t="s">
        <v>609</v>
      </c>
      <c r="E496" t="s">
        <v>619</v>
      </c>
      <c r="F496" t="s">
        <v>623</v>
      </c>
      <c r="G496" s="4">
        <v>3</v>
      </c>
      <c r="H496" s="6">
        <v>0.05</v>
      </c>
      <c r="I496" s="4">
        <v>156.75</v>
      </c>
      <c r="J496" s="4">
        <v>34.479999999999997</v>
      </c>
    </row>
    <row r="497" spans="1:10" x14ac:dyDescent="0.35">
      <c r="A497" t="s">
        <v>505</v>
      </c>
      <c r="B497" s="2">
        <v>46019</v>
      </c>
      <c r="C497" t="s">
        <v>535</v>
      </c>
      <c r="D497" t="s">
        <v>609</v>
      </c>
      <c r="E497" t="s">
        <v>619</v>
      </c>
      <c r="F497" t="s">
        <v>624</v>
      </c>
      <c r="G497" s="4">
        <v>5</v>
      </c>
      <c r="H497" s="6">
        <v>0.05</v>
      </c>
      <c r="I497" s="4">
        <v>261.25</v>
      </c>
      <c r="J497" s="4">
        <v>57.48</v>
      </c>
    </row>
    <row r="498" spans="1:10" x14ac:dyDescent="0.35">
      <c r="A498" t="s">
        <v>506</v>
      </c>
      <c r="B498" s="2">
        <v>46019</v>
      </c>
      <c r="C498" t="s">
        <v>573</v>
      </c>
      <c r="D498" t="s">
        <v>610</v>
      </c>
      <c r="E498" t="s">
        <v>620</v>
      </c>
      <c r="F498" t="s">
        <v>625</v>
      </c>
      <c r="G498" s="4">
        <v>4</v>
      </c>
      <c r="H498" s="6">
        <v>0.05</v>
      </c>
      <c r="I498" s="4">
        <v>323</v>
      </c>
      <c r="J498" s="4">
        <v>61.37</v>
      </c>
    </row>
    <row r="499" spans="1:10" x14ac:dyDescent="0.35">
      <c r="A499" t="s">
        <v>507</v>
      </c>
      <c r="B499" s="2">
        <v>46019</v>
      </c>
      <c r="C499" t="s">
        <v>518</v>
      </c>
      <c r="D499" t="s">
        <v>612</v>
      </c>
      <c r="E499" t="s">
        <v>621</v>
      </c>
      <c r="F499" t="s">
        <v>625</v>
      </c>
      <c r="G499" s="4">
        <v>5</v>
      </c>
      <c r="H499" s="6">
        <v>0</v>
      </c>
      <c r="I499" s="4">
        <v>60</v>
      </c>
      <c r="J499" s="4">
        <v>16.8</v>
      </c>
    </row>
    <row r="500" spans="1:10" x14ac:dyDescent="0.35">
      <c r="A500" t="s">
        <v>508</v>
      </c>
      <c r="B500" s="2">
        <v>46022</v>
      </c>
      <c r="C500" t="s">
        <v>542</v>
      </c>
      <c r="D500" t="s">
        <v>614</v>
      </c>
      <c r="E500" t="s">
        <v>621</v>
      </c>
      <c r="F500" t="s">
        <v>624</v>
      </c>
      <c r="G500" s="4">
        <v>1</v>
      </c>
      <c r="H500" s="6">
        <v>0</v>
      </c>
      <c r="I500" s="4">
        <v>8</v>
      </c>
      <c r="J500" s="4">
        <v>2.4</v>
      </c>
    </row>
    <row r="501" spans="1:10" x14ac:dyDescent="0.35">
      <c r="A501" t="s">
        <v>509</v>
      </c>
      <c r="B501" s="2">
        <v>46022</v>
      </c>
      <c r="C501" t="s">
        <v>588</v>
      </c>
      <c r="D501" t="s">
        <v>618</v>
      </c>
      <c r="E501" t="s">
        <v>620</v>
      </c>
      <c r="F501" t="s">
        <v>625</v>
      </c>
      <c r="G501" s="4">
        <v>1</v>
      </c>
      <c r="H501" s="6">
        <v>0</v>
      </c>
      <c r="I501" s="4">
        <v>25</v>
      </c>
      <c r="J501" s="4">
        <v>5.75</v>
      </c>
    </row>
  </sheetData>
  <conditionalFormatting sqref="A1">
    <cfRule type="duplicateValues" dxfId="0"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61636-6778-4E52-8F58-109B7681491A}">
  <dimension ref="A1:C4"/>
  <sheetViews>
    <sheetView tabSelected="1" topLeftCell="A11" workbookViewId="0">
      <selection activeCell="A3" sqref="A3"/>
    </sheetView>
  </sheetViews>
  <sheetFormatPr defaultColWidth="15.90625" defaultRowHeight="14.5" x14ac:dyDescent="0.35"/>
  <sheetData>
    <row r="1" spans="1:3" ht="28.5" x14ac:dyDescent="0.35">
      <c r="A1" s="10" t="s">
        <v>648</v>
      </c>
    </row>
    <row r="3" spans="1:3" ht="18.5" x14ac:dyDescent="0.45">
      <c r="A3" s="13" t="s">
        <v>645</v>
      </c>
      <c r="B3" s="13" t="s">
        <v>646</v>
      </c>
      <c r="C3" s="13" t="s">
        <v>647</v>
      </c>
    </row>
    <row r="4" spans="1:3" ht="15.5" x14ac:dyDescent="0.35">
      <c r="A4" s="11">
        <f>SUM(Sales_Data!I:I)</f>
        <v>371184.2</v>
      </c>
      <c r="B4" s="11">
        <f>SUM(Sales_Data!J:J)</f>
        <v>61037.100000000071</v>
      </c>
      <c r="C4" s="12">
        <f>SUM(Sales_Data!G:G)</f>
        <v>2263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 sales</vt:lpstr>
      <vt:lpstr>region sales</vt:lpstr>
      <vt:lpstr>month sales</vt:lpstr>
      <vt:lpstr>product sales</vt:lpstr>
      <vt:lpstr>Sheet5</vt: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Mubashina C A</cp:lastModifiedBy>
  <dcterms:created xsi:type="dcterms:W3CDTF">2026-09-06T10:30:16Z</dcterms:created>
  <dcterms:modified xsi:type="dcterms:W3CDTF">2026-09-06T16:54:59Z</dcterms:modified>
</cp:coreProperties>
</file>